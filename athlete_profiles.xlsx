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virgile\Dropbox\Adam Only\School\PhD\UVM Coursework\Dissertation\data\"/>
    </mc:Choice>
  </mc:AlternateContent>
  <xr:revisionPtr revIDLastSave="0" documentId="8_{AA846B70-01E5-41EC-A422-AAE94EBD51EB}" xr6:coauthVersionLast="47" xr6:coauthVersionMax="47" xr10:uidLastSave="{00000000-0000-0000-0000-000000000000}"/>
  <bookViews>
    <workbookView xWindow="33720" yWindow="2295" windowWidth="29040" windowHeight="15720" xr2:uid="{00000000-000D-0000-FFFF-FFFF00000000}"/>
  </bookViews>
  <sheets>
    <sheet name="RDAthletes" sheetId="5" r:id="rId1"/>
    <sheet name="AthleteProfiles" sheetId="4" r:id="rId2"/>
  </sheets>
  <externalReferences>
    <externalReference r:id="rId3"/>
    <externalReference r:id="rId4"/>
    <externalReference r:id="rId5"/>
  </externalReferences>
  <definedNames>
    <definedName name="Alex" localSheetId="0">[1]ROSTER!#REF!</definedName>
    <definedName name="Alex">[1]ROSTER!#REF!</definedName>
    <definedName name="athletepic">INDEX('[2]Optional - Add player Image'!$C$6:$C$33,MATCH('[2]Step 4 - Player Sheet'!$B$8:$J$9,'[2]Optional - Add player Image'!$B$6:$B$33,0))</definedName>
    <definedName name="Bailey" localSheetId="0">[1]ROSTER!#REF!</definedName>
    <definedName name="Bailey">[1]ROSTER!#REF!</definedName>
    <definedName name="Borea" localSheetId="0">[1]ROSTER!#REF!</definedName>
    <definedName name="Borea">[1]ROSTER!#REF!</definedName>
    <definedName name="Caz" localSheetId="0">[1]ROSTER!#REF!</definedName>
    <definedName name="Caz">[1]ROSTER!#REF!</definedName>
    <definedName name="Chris" localSheetId="0">[1]ROSTER!#REF!</definedName>
    <definedName name="Chris">[1]ROSTER!#REF!</definedName>
    <definedName name="Christian" localSheetId="0">[1]ROSTER!#REF!</definedName>
    <definedName name="Christian">[1]ROSTER!#REF!</definedName>
    <definedName name="Clayton" localSheetId="0">[1]ROSTER!#REF!</definedName>
    <definedName name="Clayton">[1]ROSTER!#REF!</definedName>
    <definedName name="Conor" localSheetId="0">[1]ROSTER!#REF!</definedName>
    <definedName name="Conor">[1]ROSTER!#REF!</definedName>
    <definedName name="D.J." localSheetId="0">[1]ROSTER!#REF!</definedName>
    <definedName name="D.J.">[1]ROSTER!#REF!</definedName>
    <definedName name="DeCENZO" localSheetId="0">[1]ROSTER!#REF!</definedName>
    <definedName name="DeCENZO">[1]ROSTER!#REF!</definedName>
    <definedName name="Diaz" localSheetId="0">[1]ROSTER!#REF!</definedName>
    <definedName name="Diaz">[1]ROSTER!#REF!</definedName>
    <definedName name="DOERRING" localSheetId="0">[1]ROSTER!#REF!</definedName>
    <definedName name="DOERRING">[1]ROSTER!#REF!</definedName>
    <definedName name="Dove" localSheetId="0">[1]ROSTER!#REF!</definedName>
    <definedName name="Dove">[1]ROSTER!#REF!</definedName>
    <definedName name="Dwayne" localSheetId="0">[1]ROSTER!#REF!</definedName>
    <definedName name="Dwayne">[1]ROSTER!#REF!</definedName>
    <definedName name="Edler" localSheetId="0">[1]ROSTER!#REF!</definedName>
    <definedName name="Edler">[1]ROSTER!#REF!</definedName>
    <definedName name="FRANZON" localSheetId="0">[1]ROSTER!#REF!</definedName>
    <definedName name="FRANZON">[1]ROSTER!#REF!</definedName>
    <definedName name="GRIEM" localSheetId="0">[1]ROSTER!#REF!</definedName>
    <definedName name="GRIEM">[1]ROSTER!#REF!</definedName>
    <definedName name="HERRINGTON" localSheetId="0">[1]ROSTER!#REF!</definedName>
    <definedName name="HERRINGTON">[1]ROSTER!#REF!</definedName>
    <definedName name="Joe" localSheetId="0">[1]ROSTER!#REF!</definedName>
    <definedName name="Joe">[1]ROSTER!#REF!</definedName>
    <definedName name="Johnson" localSheetId="0">[1]ROSTER!#REF!</definedName>
    <definedName name="Johnson">[1]ROSTER!#REF!</definedName>
    <definedName name="Kisling" localSheetId="0">[1]ROSTER!#REF!</definedName>
    <definedName name="Kisling">[1]ROSTER!#REF!</definedName>
    <definedName name="Leland" localSheetId="0">[1]ROSTER!#REF!</definedName>
    <definedName name="Leland">[1]ROSTER!#REF!</definedName>
    <definedName name="LENZ" localSheetId="0">[1]ROSTER!#REF!</definedName>
    <definedName name="LENZ">[1]ROSTER!#REF!</definedName>
    <definedName name="Losier" localSheetId="0">[1]ROSTER!#REF!</definedName>
    <definedName name="Losier">[1]ROSTER!#REF!</definedName>
    <definedName name="LUUKKO" localSheetId="0">[1]ROSTER!#REF!</definedName>
    <definedName name="LUUKKO">[1]ROSTER!#REF!</definedName>
    <definedName name="MARKISON" localSheetId="0">[1]ROSTER!#REF!</definedName>
    <definedName name="MARKISON">[1]ROSTER!#REF!</definedName>
    <definedName name="McCARTHY" localSheetId="0">[1]ROSTER!#REF!</definedName>
    <definedName name="McCARTHY">[1]ROSTER!#REF!</definedName>
    <definedName name="Mike" localSheetId="0">[1]ROSTER!#REF!</definedName>
    <definedName name="Mike">[1]ROSTER!#REF!</definedName>
    <definedName name="MONTAGNA" localSheetId="0">[1]ROSTER!#REF!</definedName>
    <definedName name="MONTAGNA">[1]ROSTER!#REF!</definedName>
    <definedName name="MOUNTAIN" localSheetId="0">[1]ROSTER!#REF!</definedName>
    <definedName name="MOUNTAIN">[1]ROSTER!#REF!</definedName>
    <definedName name="Name">'[2]Step 2 - Input yearly numbers'!$A$5:$A$34</definedName>
    <definedName name="NILSSON_ROOS" localSheetId="0">[1]ROSTER!#REF!</definedName>
    <definedName name="NILSSON_ROOS">[1]ROSTER!#REF!</definedName>
    <definedName name="Noah" localSheetId="0">[1]ROSTER!#REF!</definedName>
    <definedName name="Noah">[1]ROSTER!#REF!</definedName>
    <definedName name="Paul" localSheetId="0">[1]ROSTER!#REF!</definedName>
    <definedName name="Paul">[1]ROSTER!#REF!</definedName>
    <definedName name="Perkins" localSheetId="0">[1]ROSTER!#REF!</definedName>
    <definedName name="Perkins">[1]ROSTER!#REF!</definedName>
    <definedName name="PictureFormula">INDIRECT([1]EVAL!$C$2)</definedName>
    <definedName name="Pierce" localSheetId="0">[1]ROSTER!#REF!</definedName>
    <definedName name="Pierce">[1]ROSTER!#REF!</definedName>
    <definedName name="Rafalick" localSheetId="0">[1]ROSTER!#REF!</definedName>
    <definedName name="Rafalick">[1]ROSTER!#REF!</definedName>
    <definedName name="Rafalik" localSheetId="0">[1]ROSTER!#REF!</definedName>
    <definedName name="Rafalik">[1]ROSTER!#REF!</definedName>
    <definedName name="Ramada" localSheetId="0">[1]ROSTER!#REF!</definedName>
    <definedName name="Ramada">[1]ROSTER!#REF!</definedName>
    <definedName name="Rebeor" localSheetId="0">[1]ROSTER!#REF!</definedName>
    <definedName name="Rebeor">[1]ROSTER!#REF!</definedName>
    <definedName name="REYNOLDS" localSheetId="0">[1]ROSTER!#REF!</definedName>
    <definedName name="REYNOLDS">[1]ROSTER!#REF!</definedName>
    <definedName name="Ryan" localSheetId="0">[1]ROSTER!#REF!</definedName>
    <definedName name="Ryan">[1]ROSTER!#REF!</definedName>
    <definedName name="Salvatore" localSheetId="0">[1]ROSTER!#REF!</definedName>
    <definedName name="Salvatore">[1]ROSTER!#REF!</definedName>
    <definedName name="Scheirer" localSheetId="0">[1]ROSTER!#REF!</definedName>
    <definedName name="Scheirer">[1]ROSTER!#REF!</definedName>
    <definedName name="Scotty" localSheetId="0">[1]ROSTER!#REF!</definedName>
    <definedName name="Scotty">[1]ROSTER!#REF!</definedName>
    <definedName name="Seth" localSheetId="0">[1]ROSTER!#REF!</definedName>
    <definedName name="Seth">[1]ROSTER!#REF!</definedName>
    <definedName name="STALBERG" localSheetId="0">[1]ROSTER!#REF!</definedName>
    <definedName name="STALBERG">[1]ROSTER!#REF!</definedName>
    <definedName name="Sweeney" localSheetId="0">[1]ROSTER!#REF!</definedName>
    <definedName name="Sweeney">[1]ROSTER!#REF!</definedName>
    <definedName name="Takano" localSheetId="0">[1]ROSTER!#REF!</definedName>
    <definedName name="Takano">[1]ROSTER!#REF!</definedName>
    <definedName name="TESTData">'[2]Step 2 - Input yearly numbers'!$A$5:$DF$34</definedName>
    <definedName name="Zach" localSheetId="0">[1]ROSTER!#REF!</definedName>
    <definedName name="Zach">[1]ROSTER!#REF!</definedName>
    <definedName name="ZScore">'[3] Test Data'!$A$240:$N$280</definedName>
    <definedName name="ZScoreData">'[2]Step 3 - Input #''s for Z Score'!$A$41:$P$70</definedName>
    <definedName name="ZScoreName">'[2]Step 3 - Input #''s for Z Score'!$A$41:$A$70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4" l="1"/>
  <c r="M26" i="4"/>
  <c r="M23" i="4"/>
  <c r="M5" i="4"/>
  <c r="M6" i="4"/>
  <c r="M7" i="4"/>
  <c r="M8" i="4"/>
  <c r="M9" i="4"/>
  <c r="M10" i="4"/>
  <c r="M11" i="4"/>
  <c r="M3" i="4"/>
  <c r="M4" i="4"/>
  <c r="M12" i="4"/>
  <c r="M13" i="4"/>
  <c r="M14" i="4"/>
  <c r="M15" i="4"/>
  <c r="M16" i="4"/>
  <c r="M17" i="4"/>
  <c r="M18" i="4"/>
  <c r="M19" i="4"/>
  <c r="M20" i="4"/>
  <c r="M21" i="4"/>
  <c r="M22" i="4"/>
  <c r="M24" i="4"/>
  <c r="M25" i="4"/>
  <c r="M28" i="4"/>
  <c r="M29" i="4"/>
  <c r="M30" i="4"/>
  <c r="M31" i="4"/>
  <c r="M32" i="4"/>
  <c r="M33" i="4"/>
  <c r="M34" i="4"/>
  <c r="M35" i="4"/>
  <c r="M2" i="4"/>
</calcChain>
</file>

<file path=xl/sharedStrings.xml><?xml version="1.0" encoding="utf-8"?>
<sst xmlns="http://schemas.openxmlformats.org/spreadsheetml/2006/main" count="600" uniqueCount="164">
  <si>
    <t>DOB</t>
  </si>
  <si>
    <t>6'0"</t>
  </si>
  <si>
    <t>5'9"</t>
  </si>
  <si>
    <t>5'10"</t>
  </si>
  <si>
    <t>5'11"</t>
  </si>
  <si>
    <t>6'2"</t>
  </si>
  <si>
    <t>5'8"</t>
  </si>
  <si>
    <t>6'3"</t>
  </si>
  <si>
    <t>6'1"</t>
  </si>
  <si>
    <t>6'5"</t>
  </si>
  <si>
    <t>JerseyNumber</t>
  </si>
  <si>
    <t>LastName</t>
  </si>
  <si>
    <t>FirstName</t>
  </si>
  <si>
    <t>Team</t>
  </si>
  <si>
    <t>Year</t>
  </si>
  <si>
    <t>Class</t>
  </si>
  <si>
    <t>Height</t>
  </si>
  <si>
    <t>Weight</t>
  </si>
  <si>
    <t>Position</t>
  </si>
  <si>
    <t>Shoots</t>
  </si>
  <si>
    <t>Hometown</t>
  </si>
  <si>
    <t>Email</t>
  </si>
  <si>
    <t>Aldworth</t>
  </si>
  <si>
    <t>Thomas</t>
  </si>
  <si>
    <t>Alvaro</t>
  </si>
  <si>
    <t>Matt</t>
  </si>
  <si>
    <t>Beck</t>
  </si>
  <si>
    <t>Cipollone</t>
  </si>
  <si>
    <t>Joey</t>
  </si>
  <si>
    <t>Comeau</t>
  </si>
  <si>
    <t>Dallas</t>
  </si>
  <si>
    <t>Coughlin</t>
  </si>
  <si>
    <t>Liam</t>
  </si>
  <si>
    <t>Cowans</t>
  </si>
  <si>
    <t>Ace</t>
  </si>
  <si>
    <t>Deroche</t>
  </si>
  <si>
    <t>John</t>
  </si>
  <si>
    <t>Dzhioshvili</t>
  </si>
  <si>
    <t>Vladislav</t>
  </si>
  <si>
    <t>Esposito</t>
  </si>
  <si>
    <t>Alex</t>
  </si>
  <si>
    <t>Evers</t>
  </si>
  <si>
    <t>Christian</t>
  </si>
  <si>
    <t>Frechette</t>
  </si>
  <si>
    <t>Martin</t>
  </si>
  <si>
    <t>Grant</t>
  </si>
  <si>
    <t>Owen</t>
  </si>
  <si>
    <t>Hamre</t>
  </si>
  <si>
    <t>Nic</t>
  </si>
  <si>
    <t>Harmon</t>
  </si>
  <si>
    <t>Tyler</t>
  </si>
  <si>
    <t>Kaufman</t>
  </si>
  <si>
    <t>Max</t>
  </si>
  <si>
    <t>Kelly</t>
  </si>
  <si>
    <t>Brian</t>
  </si>
  <si>
    <t>Lekkas</t>
  </si>
  <si>
    <t>Stefanos</t>
  </si>
  <si>
    <t>Lodermeier</t>
  </si>
  <si>
    <t>Derek</t>
  </si>
  <si>
    <t>Long</t>
  </si>
  <si>
    <t>Carter</t>
  </si>
  <si>
    <t>Massie</t>
  </si>
  <si>
    <t>Jake</t>
  </si>
  <si>
    <t>Misley</t>
  </si>
  <si>
    <t>Bryce</t>
  </si>
  <si>
    <t>Moriarty</t>
  </si>
  <si>
    <t>Corey</t>
  </si>
  <si>
    <t>O'Donnell</t>
  </si>
  <si>
    <t>Matthew</t>
  </si>
  <si>
    <t>O'Neil</t>
  </si>
  <si>
    <t>Conor</t>
  </si>
  <si>
    <t>Petrillo</t>
  </si>
  <si>
    <t>Andrew</t>
  </si>
  <si>
    <t>Puffer</t>
  </si>
  <si>
    <t>Craig</t>
  </si>
  <si>
    <t>Cory</t>
  </si>
  <si>
    <t>PhoneNumber</t>
  </si>
  <si>
    <t>Beretta</t>
  </si>
  <si>
    <t>Bouquot</t>
  </si>
  <si>
    <t>Jacques</t>
  </si>
  <si>
    <t>Boyko</t>
  </si>
  <si>
    <t>Simon</t>
  </si>
  <si>
    <t>Mens Ice Hockey</t>
  </si>
  <si>
    <t>Redshirt Junior</t>
  </si>
  <si>
    <t>Junior</t>
  </si>
  <si>
    <t>Sophomore</t>
  </si>
  <si>
    <t>Freshman</t>
  </si>
  <si>
    <t>Senior</t>
  </si>
  <si>
    <t>Forward</t>
  </si>
  <si>
    <t>Right</t>
  </si>
  <si>
    <t>King City, ON, CAN</t>
  </si>
  <si>
    <t>Left</t>
  </si>
  <si>
    <t>Goalie</t>
  </si>
  <si>
    <t>Defenseman</t>
  </si>
  <si>
    <t>South Windsor, CT, USA</t>
  </si>
  <si>
    <t>Mississauga, ON, CAN</t>
  </si>
  <si>
    <t>Lemay</t>
  </si>
  <si>
    <t>William</t>
  </si>
  <si>
    <t>Marieville, QC, CAN</t>
  </si>
  <si>
    <t>Lucas</t>
  </si>
  <si>
    <t>McCutcheon</t>
  </si>
  <si>
    <t>Riley</t>
  </si>
  <si>
    <t>Alexandria, VA, USA</t>
  </si>
  <si>
    <t>Courtice, ON, CAN</t>
  </si>
  <si>
    <t>Keller, TX, USA</t>
  </si>
  <si>
    <t>Toronto, ON, CAN</t>
  </si>
  <si>
    <t>Westport, CT, USA</t>
  </si>
  <si>
    <t>Purchase, NY, USA</t>
  </si>
  <si>
    <t>Calgary, AB, CAN</t>
  </si>
  <si>
    <t>South Boston, MA, USA</t>
  </si>
  <si>
    <t>Beverly, MA, USA</t>
  </si>
  <si>
    <t>Lynnfield, MA, USA</t>
  </si>
  <si>
    <t>Moscow, RUSSIA</t>
  </si>
  <si>
    <t>West Haven, CT, USA</t>
  </si>
  <si>
    <t>Waukee, IA, USA</t>
  </si>
  <si>
    <t>Rockland, ON, CAN</t>
  </si>
  <si>
    <t>Ottawa, ON, CAN</t>
  </si>
  <si>
    <t>Cumberland, ON, CAN</t>
  </si>
  <si>
    <t>Ramsey, NJ, USA</t>
  </si>
  <si>
    <t>Rochester, NY, USA</t>
  </si>
  <si>
    <t>Elburn, IL, USA</t>
  </si>
  <si>
    <t>Brooklyn Center, MN, USA</t>
  </si>
  <si>
    <t>Yorktown, VA, USA</t>
  </si>
  <si>
    <t>Saint-Lazare, QC, CAN</t>
  </si>
  <si>
    <t>Estero, FL, USA</t>
  </si>
  <si>
    <t>Fountain Valley, CA, USA</t>
  </si>
  <si>
    <t>Hummelstown, PA, USA</t>
  </si>
  <si>
    <t>Pompton Plains, NJ, USA</t>
  </si>
  <si>
    <t>New Canaan, CT, USA</t>
  </si>
  <si>
    <t>St. Brieux, SK, CAN</t>
  </si>
  <si>
    <t>Aldworth.Thomas@uvm.edu</t>
  </si>
  <si>
    <t>Alvaro.Matt@uvm.edu</t>
  </si>
  <si>
    <t>Beck.Matt@uvm.edu</t>
  </si>
  <si>
    <t>Beretta.Thomas@uvm.edu</t>
  </si>
  <si>
    <t>Bouquot.Jacques@uvm.edu</t>
  </si>
  <si>
    <t>Boyko.Simon@uvm.edu</t>
  </si>
  <si>
    <t>Cipollone.Joey@uvm.edu</t>
  </si>
  <si>
    <t>Comeau.Dallas@uvm.edu</t>
  </si>
  <si>
    <t>Coughlin.Liam@uvm.edu</t>
  </si>
  <si>
    <t>Cowans.Ace@uvm.edu</t>
  </si>
  <si>
    <t>Deroche.John@uvm.edu</t>
  </si>
  <si>
    <t>Dzhioshvili.Vladislav@uvm.edu</t>
  </si>
  <si>
    <t>Esposito.Alex@uvm.edu</t>
  </si>
  <si>
    <t>Evers.Christian@uvm.edu</t>
  </si>
  <si>
    <t>Frechette.Martin@uvm.edu</t>
  </si>
  <si>
    <t>Grant.Owen@uvm.edu</t>
  </si>
  <si>
    <t>Hamre.Nic@uvm.edu</t>
  </si>
  <si>
    <t>Harmon.Tyler@uvm.edu</t>
  </si>
  <si>
    <t>Kaufman.Max@uvm.edu</t>
  </si>
  <si>
    <t>Kelly.Brian@uvm.edu</t>
  </si>
  <si>
    <t>Lekkas.Stefanos@uvm.edu</t>
  </si>
  <si>
    <t>Lemay.William@uvm.edu</t>
  </si>
  <si>
    <t>Lodermeier.Derek@uvm.edu</t>
  </si>
  <si>
    <t>Long.Carter@uvm.edu</t>
  </si>
  <si>
    <t>Lucas.Andrew@uvm.edu</t>
  </si>
  <si>
    <t>McCutcheon.Riley@uvm.edu</t>
  </si>
  <si>
    <t>Massie.Jake@uvm.edu</t>
  </si>
  <si>
    <t>Misley.Bryce@uvm.edu</t>
  </si>
  <si>
    <t>Moriarty.Corey@uvm.edu</t>
  </si>
  <si>
    <t>O'Donnell.Matthew@uvm.edu</t>
  </si>
  <si>
    <t>O'Neil.Conor@uvm.edu</t>
  </si>
  <si>
    <t>Petrillo.Andrew@uvm.edu</t>
  </si>
  <si>
    <t>Puffer.Craig@uvm.edu</t>
  </si>
  <si>
    <t>Thomas.Cory@uvm.edu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</si>
</sst>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textRotation="90"/>
    </xf>
    <xf numFmtId="0" fontId="0" fillId="0" borderId="0" xfId="0" applyAlignment="1">
      <alignment textRotation="90" wrapText="1"/>
    </xf>
    <xf numFmtId="0" fontId="0" fillId="0" borderId="0" xfId="0" quotePrefix="1"/>
    <xf numFmtId="0" fontId="0" fillId="2" borderId="0" xfId="0" applyFill="1" applyAlignment="1">
      <alignment textRotation="90"/>
    </xf>
    <xf numFmtId="0" fontId="0" fillId="2" borderId="0" xfId="0" applyFill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hickok/Desktop/Old%20desktop/MBB%20MASTER%20PLAYER%20GRADING%20SHEET%20FINAL%20201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2.198.218.138\Athletic%20Performance\Marc\UVM%20-%20My%20Teams\Men's%20Hockey\Testing\2019-20\Men's%20Hockey%20Performance%20Profiles%20-%202019-2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hickok/Desktop/Old%20desktop/Copy%20of%20Athlete%20Profile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Rel Strength"/>
      <sheetName val="EVAL"/>
      <sheetName val="ROSTER"/>
      <sheetName val="Report Card Master"/>
      <sheetName val="TEAM"/>
      <sheetName val="Master"/>
      <sheetName val="Sheet1"/>
      <sheetName val="Current "/>
      <sheetName val="Rookie"/>
      <sheetName val="Sheet2"/>
      <sheetName val="Sheet3"/>
      <sheetName val="Z Score"/>
      <sheetName val="Master (2)"/>
      <sheetName val="Rankings"/>
    </sheetNames>
    <sheetDataSet>
      <sheetData sheetId="0"/>
      <sheetData sheetId="1"/>
      <sheetData sheetId="2">
        <row r="2">
          <cell r="C2" t="str">
            <v>Kisling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1">
          <cell r="A41" t="str">
            <v>meg</v>
          </cell>
        </row>
      </sheetData>
      <sheetData sheetId="13">
        <row r="5">
          <cell r="A5" t="str">
            <v>meg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 1 - Tracking Sheet"/>
      <sheetName val="Step 2 - Input yearly numbers"/>
      <sheetName val="Step 3 - Input #'s for Z Score"/>
      <sheetName val="Step 4 - Player Sheet"/>
      <sheetName val="Optional - Add player Image"/>
      <sheetName val="Cover Page"/>
      <sheetName val="Year Divider"/>
      <sheetName val="Rankings"/>
    </sheetNames>
    <sheetDataSet>
      <sheetData sheetId="0"/>
      <sheetData sheetId="1">
        <row r="5">
          <cell r="A5" t="str">
            <v>MATT ALVARO</v>
          </cell>
          <cell r="B5" t="str">
            <v>Men's Hockey</v>
          </cell>
          <cell r="C5" t="str">
            <v>Senior</v>
          </cell>
          <cell r="D5" t="str">
            <v>5'9</v>
          </cell>
          <cell r="E5">
            <v>189</v>
          </cell>
          <cell r="F5">
            <v>189.2</v>
          </cell>
          <cell r="K5">
            <v>250</v>
          </cell>
          <cell r="L5">
            <v>245</v>
          </cell>
          <cell r="M5">
            <v>270</v>
          </cell>
          <cell r="AB5">
            <v>355</v>
          </cell>
          <cell r="AC5">
            <v>505</v>
          </cell>
          <cell r="AI5">
            <v>435</v>
          </cell>
          <cell r="AJ5">
            <v>365</v>
          </cell>
          <cell r="AK5">
            <v>515</v>
          </cell>
          <cell r="AQ5">
            <v>17.420000000000002</v>
          </cell>
          <cell r="AR5">
            <v>17</v>
          </cell>
          <cell r="AS5">
            <v>16.95</v>
          </cell>
          <cell r="AY5">
            <v>33</v>
          </cell>
          <cell r="AZ5">
            <v>32</v>
          </cell>
          <cell r="BA5">
            <v>34</v>
          </cell>
          <cell r="BG5">
            <v>1.67</v>
          </cell>
          <cell r="BH5">
            <v>1.7</v>
          </cell>
          <cell r="BI5">
            <v>1.71</v>
          </cell>
          <cell r="BO5">
            <v>2.92</v>
          </cell>
          <cell r="BP5">
            <v>2.97</v>
          </cell>
          <cell r="BQ5">
            <v>2.96</v>
          </cell>
          <cell r="BW5" t="str">
            <v>INJ</v>
          </cell>
          <cell r="BY5">
            <v>4.6500000000000004</v>
          </cell>
          <cell r="CF5">
            <v>17.2</v>
          </cell>
          <cell r="CG5">
            <v>18.399999999999999</v>
          </cell>
          <cell r="CM5" t="str">
            <v>INJ</v>
          </cell>
          <cell r="CU5">
            <v>0.1</v>
          </cell>
          <cell r="CW5">
            <v>0.15</v>
          </cell>
          <cell r="DC5">
            <v>0.13700000000000001</v>
          </cell>
        </row>
        <row r="6">
          <cell r="A6" t="str">
            <v>MATT BECK</v>
          </cell>
          <cell r="B6" t="str">
            <v>Men's Hockey</v>
          </cell>
          <cell r="C6" t="str">
            <v>Junior</v>
          </cell>
          <cell r="D6" t="str">
            <v>5'11</v>
          </cell>
          <cell r="E6">
            <v>179.6</v>
          </cell>
          <cell r="F6">
            <v>181</v>
          </cell>
          <cell r="I6">
            <v>210</v>
          </cell>
          <cell r="J6">
            <v>220</v>
          </cell>
          <cell r="Z6">
            <v>345</v>
          </cell>
          <cell r="AA6">
            <v>475</v>
          </cell>
          <cell r="AG6">
            <v>425</v>
          </cell>
          <cell r="AH6">
            <v>455</v>
          </cell>
          <cell r="AI6">
            <v>465</v>
          </cell>
          <cell r="AO6">
            <v>15.03</v>
          </cell>
          <cell r="AP6">
            <v>14.7</v>
          </cell>
          <cell r="AQ6">
            <v>16.02</v>
          </cell>
          <cell r="AW6">
            <v>32</v>
          </cell>
          <cell r="AX6">
            <v>31</v>
          </cell>
          <cell r="AY6">
            <v>33</v>
          </cell>
          <cell r="BE6">
            <v>1.73</v>
          </cell>
          <cell r="BF6">
            <v>1.69</v>
          </cell>
          <cell r="BG6">
            <v>1.72</v>
          </cell>
          <cell r="BM6">
            <v>2.94</v>
          </cell>
          <cell r="BN6">
            <v>2.99</v>
          </cell>
          <cell r="BO6">
            <v>3.04</v>
          </cell>
          <cell r="BU6">
            <v>4.4000000000000004</v>
          </cell>
          <cell r="BW6">
            <v>4.72</v>
          </cell>
          <cell r="CD6">
            <v>17.3</v>
          </cell>
          <cell r="CE6">
            <v>17.399999999999999</v>
          </cell>
          <cell r="CK6">
            <v>54.3</v>
          </cell>
          <cell r="CS6">
            <v>8.3000000000000004E-2</v>
          </cell>
          <cell r="CU6">
            <v>8.3000000000000004E-2</v>
          </cell>
          <cell r="DA6">
            <v>0.13100000000000001</v>
          </cell>
        </row>
        <row r="7">
          <cell r="A7" t="str">
            <v>JACQUES BOUQUOT</v>
          </cell>
          <cell r="B7" t="str">
            <v>Men's Hockey</v>
          </cell>
          <cell r="C7" t="str">
            <v>Freshman</v>
          </cell>
          <cell r="G7">
            <v>225</v>
          </cell>
          <cell r="AE7">
            <v>330</v>
          </cell>
          <cell r="AM7">
            <v>17.54</v>
          </cell>
          <cell r="AU7">
            <v>33</v>
          </cell>
          <cell r="BC7">
            <v>1.7</v>
          </cell>
          <cell r="BK7">
            <v>2.85</v>
          </cell>
          <cell r="BS7">
            <v>4.6500000000000004</v>
          </cell>
          <cell r="CA7">
            <v>19.100000000000001</v>
          </cell>
          <cell r="CQ7">
            <v>0.23300000000000001</v>
          </cell>
        </row>
        <row r="8">
          <cell r="A8" t="str">
            <v>SIMON BOYKO</v>
          </cell>
          <cell r="B8" t="str">
            <v>Men's Hockey</v>
          </cell>
          <cell r="C8" t="str">
            <v>Freshman</v>
          </cell>
          <cell r="G8">
            <v>185</v>
          </cell>
          <cell r="AE8">
            <v>330</v>
          </cell>
          <cell r="AM8">
            <v>16.34</v>
          </cell>
          <cell r="AU8">
            <v>33</v>
          </cell>
          <cell r="BC8">
            <v>1.8</v>
          </cell>
          <cell r="BK8">
            <v>3.09</v>
          </cell>
          <cell r="BS8">
            <v>4.79</v>
          </cell>
          <cell r="CA8">
            <v>18.8</v>
          </cell>
          <cell r="CQ8">
            <v>0.15</v>
          </cell>
        </row>
        <row r="9">
          <cell r="A9" t="str">
            <v>JOEY CIPOLLONE</v>
          </cell>
          <cell r="B9" t="str">
            <v>Men's Hockey</v>
          </cell>
          <cell r="C9" t="str">
            <v>Sophomore</v>
          </cell>
          <cell r="D9" t="str">
            <v>5'11</v>
          </cell>
          <cell r="E9">
            <v>177</v>
          </cell>
          <cell r="F9">
            <v>179.6</v>
          </cell>
          <cell r="G9">
            <v>210</v>
          </cell>
          <cell r="H9">
            <v>205</v>
          </cell>
          <cell r="I9">
            <v>220</v>
          </cell>
          <cell r="X9">
            <v>355</v>
          </cell>
          <cell r="Y9">
            <v>425</v>
          </cell>
          <cell r="AE9">
            <v>400</v>
          </cell>
          <cell r="AF9">
            <v>445</v>
          </cell>
          <cell r="AG9">
            <v>475</v>
          </cell>
          <cell r="AM9">
            <v>14.52</v>
          </cell>
          <cell r="AN9">
            <v>14.51</v>
          </cell>
          <cell r="AO9">
            <v>14.7</v>
          </cell>
          <cell r="AU9">
            <v>28</v>
          </cell>
          <cell r="AV9">
            <v>30</v>
          </cell>
          <cell r="AW9">
            <v>29</v>
          </cell>
          <cell r="BC9">
            <v>1.65</v>
          </cell>
          <cell r="BD9">
            <v>1.75</v>
          </cell>
          <cell r="BE9">
            <v>1.77</v>
          </cell>
          <cell r="BK9">
            <v>2.87</v>
          </cell>
          <cell r="BL9">
            <v>2.97</v>
          </cell>
          <cell r="BM9">
            <v>2.98</v>
          </cell>
          <cell r="BS9">
            <v>4.5999999999999996</v>
          </cell>
          <cell r="BU9">
            <v>4.74</v>
          </cell>
          <cell r="CB9">
            <v>18.399999999999999</v>
          </cell>
          <cell r="CC9">
            <v>19.2</v>
          </cell>
          <cell r="CI9">
            <v>51.7</v>
          </cell>
          <cell r="CQ9">
            <v>0.35</v>
          </cell>
          <cell r="CS9">
            <v>0.3</v>
          </cell>
          <cell r="CY9">
            <v>0.111</v>
          </cell>
        </row>
        <row r="10">
          <cell r="A10" t="str">
            <v>DALLAS COMEAU</v>
          </cell>
          <cell r="B10" t="str">
            <v>Men's Hockey</v>
          </cell>
          <cell r="C10" t="str">
            <v>Sophomore</v>
          </cell>
          <cell r="D10" t="str">
            <v>5'11</v>
          </cell>
          <cell r="E10">
            <v>177.6</v>
          </cell>
          <cell r="F10">
            <v>179.6</v>
          </cell>
          <cell r="G10">
            <v>230</v>
          </cell>
          <cell r="H10">
            <v>230</v>
          </cell>
          <cell r="I10">
            <v>250</v>
          </cell>
          <cell r="X10">
            <v>355</v>
          </cell>
          <cell r="Y10">
            <v>515</v>
          </cell>
          <cell r="AE10">
            <v>400</v>
          </cell>
          <cell r="AF10">
            <v>480</v>
          </cell>
          <cell r="AG10">
            <v>485</v>
          </cell>
          <cell r="AM10">
            <v>16.87</v>
          </cell>
          <cell r="AN10">
            <v>17.62</v>
          </cell>
          <cell r="AO10">
            <v>18.62</v>
          </cell>
          <cell r="AU10">
            <v>34</v>
          </cell>
          <cell r="AV10">
            <v>34</v>
          </cell>
          <cell r="AW10">
            <v>35</v>
          </cell>
          <cell r="BC10">
            <v>1.65</v>
          </cell>
          <cell r="BD10">
            <v>1.61</v>
          </cell>
          <cell r="BE10">
            <v>1.64</v>
          </cell>
          <cell r="BK10">
            <v>2.86</v>
          </cell>
          <cell r="BL10">
            <v>2.83</v>
          </cell>
          <cell r="BM10">
            <v>2.84</v>
          </cell>
          <cell r="BS10">
            <v>4.28</v>
          </cell>
          <cell r="BU10">
            <v>4.49</v>
          </cell>
          <cell r="CB10">
            <v>19.100000000000001</v>
          </cell>
          <cell r="CC10">
            <v>19.2</v>
          </cell>
          <cell r="CI10">
            <v>52.7</v>
          </cell>
          <cell r="CQ10">
            <v>6.7000000000000004E-2</v>
          </cell>
          <cell r="CS10">
            <v>0.15</v>
          </cell>
          <cell r="CY10">
            <v>8.4000000000000005E-2</v>
          </cell>
        </row>
        <row r="11">
          <cell r="A11" t="str">
            <v>ACE COWANS</v>
          </cell>
          <cell r="B11" t="str">
            <v>Men's Hockey</v>
          </cell>
          <cell r="C11" t="str">
            <v>Junior</v>
          </cell>
          <cell r="D11" t="str">
            <v>5'7</v>
          </cell>
          <cell r="E11">
            <v>155</v>
          </cell>
          <cell r="F11">
            <v>160</v>
          </cell>
          <cell r="I11">
            <v>210</v>
          </cell>
          <cell r="J11">
            <v>220</v>
          </cell>
          <cell r="K11">
            <v>230</v>
          </cell>
          <cell r="Z11">
            <v>310</v>
          </cell>
          <cell r="AA11">
            <v>465</v>
          </cell>
          <cell r="AG11">
            <v>365</v>
          </cell>
          <cell r="AH11">
            <v>470</v>
          </cell>
          <cell r="AI11">
            <v>500</v>
          </cell>
          <cell r="AO11">
            <v>16.809999999999999</v>
          </cell>
          <cell r="AP11">
            <v>17.25</v>
          </cell>
          <cell r="AQ11">
            <v>17.52</v>
          </cell>
          <cell r="AW11">
            <v>31</v>
          </cell>
          <cell r="AX11">
            <v>36</v>
          </cell>
          <cell r="AY11">
            <v>35</v>
          </cell>
          <cell r="BE11">
            <v>1.62</v>
          </cell>
          <cell r="BF11">
            <v>1.76</v>
          </cell>
          <cell r="BG11">
            <v>1.74</v>
          </cell>
          <cell r="BM11">
            <v>2.89</v>
          </cell>
          <cell r="BN11">
            <v>2.99</v>
          </cell>
          <cell r="BO11">
            <v>2.94</v>
          </cell>
          <cell r="BU11">
            <v>4.33</v>
          </cell>
          <cell r="BW11">
            <v>4.66</v>
          </cell>
          <cell r="CD11">
            <v>18.100000000000001</v>
          </cell>
          <cell r="CE11">
            <v>18.5</v>
          </cell>
          <cell r="CK11">
            <v>52.7</v>
          </cell>
          <cell r="CS11">
            <v>0.13300000000000001</v>
          </cell>
          <cell r="CU11">
            <v>3.3000000000000002E-2</v>
          </cell>
          <cell r="DA11">
            <v>0.113</v>
          </cell>
        </row>
        <row r="12">
          <cell r="A12" t="str">
            <v>JOHNNY DEROCHE</v>
          </cell>
          <cell r="B12" t="str">
            <v>Men's Hockey</v>
          </cell>
          <cell r="C12" t="str">
            <v>Sophomore</v>
          </cell>
          <cell r="D12" t="str">
            <v>5'11</v>
          </cell>
          <cell r="E12">
            <v>176.4</v>
          </cell>
          <cell r="F12">
            <v>177</v>
          </cell>
          <cell r="G12">
            <v>185</v>
          </cell>
          <cell r="H12">
            <v>200</v>
          </cell>
          <cell r="I12">
            <v>215</v>
          </cell>
          <cell r="X12">
            <v>310</v>
          </cell>
          <cell r="Y12">
            <v>425</v>
          </cell>
          <cell r="AE12">
            <v>385</v>
          </cell>
          <cell r="AF12">
            <v>395</v>
          </cell>
          <cell r="AG12">
            <v>425</v>
          </cell>
          <cell r="AM12">
            <v>16.62</v>
          </cell>
          <cell r="AN12">
            <v>17.489999999999998</v>
          </cell>
          <cell r="AO12">
            <v>17.309999999999999</v>
          </cell>
          <cell r="AU12">
            <v>32</v>
          </cell>
          <cell r="AV12">
            <v>30</v>
          </cell>
          <cell r="AW12">
            <v>31</v>
          </cell>
          <cell r="BC12">
            <v>1.62</v>
          </cell>
          <cell r="BD12">
            <v>1.74</v>
          </cell>
          <cell r="BE12">
            <v>1.76</v>
          </cell>
          <cell r="BK12">
            <v>2.99</v>
          </cell>
          <cell r="BL12">
            <v>3</v>
          </cell>
          <cell r="BM12">
            <v>3.04</v>
          </cell>
          <cell r="BS12">
            <v>4.4800000000000004</v>
          </cell>
          <cell r="BU12">
            <v>4.59</v>
          </cell>
          <cell r="CB12">
            <v>18.2</v>
          </cell>
          <cell r="CC12">
            <v>18.600000000000001</v>
          </cell>
          <cell r="CI12">
            <v>54</v>
          </cell>
          <cell r="CQ12">
            <v>0.2</v>
          </cell>
          <cell r="CS12">
            <v>0.23300000000000001</v>
          </cell>
          <cell r="CY12">
            <v>9.2999999999999999E-2</v>
          </cell>
        </row>
        <row r="13">
          <cell r="A13" t="str">
            <v>VLAD DZHIOSHVILI</v>
          </cell>
          <cell r="B13" t="str">
            <v>Men's Hockey</v>
          </cell>
          <cell r="C13" t="str">
            <v>Junior</v>
          </cell>
          <cell r="D13" t="str">
            <v>6'0</v>
          </cell>
          <cell r="E13">
            <v>196</v>
          </cell>
          <cell r="F13">
            <v>194.8</v>
          </cell>
          <cell r="I13">
            <v>205</v>
          </cell>
          <cell r="J13">
            <v>235</v>
          </cell>
          <cell r="K13">
            <v>205</v>
          </cell>
          <cell r="AG13">
            <v>460</v>
          </cell>
          <cell r="AO13">
            <v>15.63</v>
          </cell>
          <cell r="AP13">
            <v>14.61</v>
          </cell>
          <cell r="AQ13">
            <v>14.33</v>
          </cell>
          <cell r="AW13">
            <v>32</v>
          </cell>
          <cell r="AX13">
            <v>30</v>
          </cell>
          <cell r="AY13">
            <v>30</v>
          </cell>
          <cell r="BE13">
            <v>1.71</v>
          </cell>
          <cell r="BF13">
            <v>1.79</v>
          </cell>
          <cell r="BG13">
            <v>1.69</v>
          </cell>
          <cell r="BM13">
            <v>2.99</v>
          </cell>
          <cell r="BN13">
            <v>3.03</v>
          </cell>
          <cell r="BO13">
            <v>2.98</v>
          </cell>
          <cell r="BU13">
            <v>4.62</v>
          </cell>
          <cell r="BW13">
            <v>4.67</v>
          </cell>
          <cell r="CD13">
            <v>18.5</v>
          </cell>
          <cell r="CK13">
            <v>55</v>
          </cell>
          <cell r="CS13">
            <v>0.16700000000000001</v>
          </cell>
          <cell r="DA13">
            <v>0.14099999999999999</v>
          </cell>
        </row>
        <row r="14">
          <cell r="A14" t="str">
            <v>ALEX ESPOSITO</v>
          </cell>
          <cell r="B14" t="str">
            <v>Men's Hockey</v>
          </cell>
          <cell r="C14" t="str">
            <v>Junior</v>
          </cell>
          <cell r="D14" t="str">
            <v>6'0</v>
          </cell>
          <cell r="E14">
            <v>179.5</v>
          </cell>
          <cell r="I14">
            <v>240</v>
          </cell>
          <cell r="K14">
            <v>245</v>
          </cell>
          <cell r="AA14">
            <v>425</v>
          </cell>
          <cell r="AG14">
            <v>400</v>
          </cell>
          <cell r="AI14">
            <v>375</v>
          </cell>
          <cell r="AO14">
            <v>18.13</v>
          </cell>
          <cell r="AQ14">
            <v>16.760000000000002</v>
          </cell>
          <cell r="AW14">
            <v>35</v>
          </cell>
          <cell r="AY14">
            <v>34</v>
          </cell>
          <cell r="BE14">
            <v>1.63</v>
          </cell>
          <cell r="BG14">
            <v>1.69</v>
          </cell>
          <cell r="BM14">
            <v>2.85</v>
          </cell>
          <cell r="BO14">
            <v>2.94</v>
          </cell>
          <cell r="BU14">
            <v>4.17</v>
          </cell>
          <cell r="BW14">
            <v>4.47</v>
          </cell>
          <cell r="CE14">
            <v>16.7</v>
          </cell>
          <cell r="CS14">
            <v>0.2</v>
          </cell>
          <cell r="CU14">
            <v>0.16700000000000001</v>
          </cell>
          <cell r="DA14">
            <v>7.0999999999999994E-2</v>
          </cell>
        </row>
        <row r="15">
          <cell r="A15" t="str">
            <v>CHRISTIAN EVERS</v>
          </cell>
          <cell r="B15" t="str">
            <v>Men's Hockey</v>
          </cell>
          <cell r="C15" t="str">
            <v>Junior</v>
          </cell>
          <cell r="D15" t="str">
            <v>6'3</v>
          </cell>
          <cell r="E15">
            <v>205.4</v>
          </cell>
          <cell r="F15">
            <v>200.6</v>
          </cell>
          <cell r="I15">
            <v>215</v>
          </cell>
          <cell r="K15">
            <v>225</v>
          </cell>
          <cell r="AA15">
            <v>425</v>
          </cell>
          <cell r="AI15">
            <v>455</v>
          </cell>
          <cell r="AO15">
            <v>18.149999999999999</v>
          </cell>
          <cell r="AP15">
            <v>18.149999999999999</v>
          </cell>
          <cell r="AQ15">
            <v>19.12</v>
          </cell>
          <cell r="AW15">
            <v>37</v>
          </cell>
          <cell r="AY15">
            <v>38</v>
          </cell>
          <cell r="BE15">
            <v>1.68</v>
          </cell>
          <cell r="BG15">
            <v>1.7</v>
          </cell>
          <cell r="BM15">
            <v>2.89</v>
          </cell>
          <cell r="BO15">
            <v>2.96</v>
          </cell>
          <cell r="BU15">
            <v>4.47</v>
          </cell>
          <cell r="BW15">
            <v>4.7</v>
          </cell>
          <cell r="CE15">
            <v>16.2</v>
          </cell>
          <cell r="CS15">
            <v>0.15</v>
          </cell>
          <cell r="CU15">
            <v>0.11700000000000001</v>
          </cell>
          <cell r="DA15">
            <v>0.09</v>
          </cell>
        </row>
        <row r="16">
          <cell r="A16" t="str">
            <v>OWEN GRANT</v>
          </cell>
          <cell r="B16" t="str">
            <v>Men's Hockey</v>
          </cell>
          <cell r="C16" t="str">
            <v>Junior</v>
          </cell>
          <cell r="D16" t="str">
            <v>6'0</v>
          </cell>
          <cell r="E16">
            <v>186</v>
          </cell>
          <cell r="F16">
            <v>187.2</v>
          </cell>
          <cell r="I16">
            <v>220</v>
          </cell>
          <cell r="J16">
            <v>215</v>
          </cell>
          <cell r="K16">
            <v>230</v>
          </cell>
          <cell r="Z16">
            <v>355</v>
          </cell>
          <cell r="AA16">
            <v>475</v>
          </cell>
          <cell r="AG16">
            <v>425</v>
          </cell>
          <cell r="AH16">
            <v>470</v>
          </cell>
          <cell r="AI16">
            <v>545</v>
          </cell>
          <cell r="AO16">
            <v>18.14</v>
          </cell>
          <cell r="AP16">
            <v>17.25</v>
          </cell>
          <cell r="AQ16">
            <v>17.829999999999998</v>
          </cell>
          <cell r="AW16">
            <v>34</v>
          </cell>
          <cell r="AX16">
            <v>35</v>
          </cell>
          <cell r="AY16">
            <v>35</v>
          </cell>
          <cell r="BE16">
            <v>1.72</v>
          </cell>
          <cell r="BF16">
            <v>1.75</v>
          </cell>
          <cell r="BG16">
            <v>1.75</v>
          </cell>
          <cell r="BM16">
            <v>2.98</v>
          </cell>
          <cell r="BN16">
            <v>2.99</v>
          </cell>
          <cell r="BO16">
            <v>3.02</v>
          </cell>
          <cell r="BU16">
            <v>4.33</v>
          </cell>
          <cell r="BW16">
            <v>4.5</v>
          </cell>
          <cell r="CD16">
            <v>19.3</v>
          </cell>
          <cell r="CE16">
            <v>20.100000000000001</v>
          </cell>
          <cell r="CK16">
            <v>50</v>
          </cell>
          <cell r="CS16">
            <v>0.1</v>
          </cell>
          <cell r="CU16">
            <v>0.183</v>
          </cell>
          <cell r="DA16">
            <v>0.122</v>
          </cell>
        </row>
        <row r="17">
          <cell r="A17" t="str">
            <v>NIC HAMRE</v>
          </cell>
          <cell r="B17" t="str">
            <v>Men's Hockey</v>
          </cell>
          <cell r="C17" t="str">
            <v>Sophomore</v>
          </cell>
          <cell r="D17" t="str">
            <v>5'9</v>
          </cell>
          <cell r="E17">
            <v>171.4</v>
          </cell>
          <cell r="F17">
            <v>177.8</v>
          </cell>
          <cell r="G17">
            <v>230</v>
          </cell>
          <cell r="I17">
            <v>260</v>
          </cell>
          <cell r="Y17">
            <v>515</v>
          </cell>
          <cell r="AE17">
            <v>470</v>
          </cell>
          <cell r="AF17">
            <v>515</v>
          </cell>
          <cell r="AG17">
            <v>580</v>
          </cell>
          <cell r="AM17">
            <v>16.63</v>
          </cell>
          <cell r="AN17">
            <v>16.16</v>
          </cell>
          <cell r="AO17">
            <v>15.76</v>
          </cell>
          <cell r="AU17">
            <v>31</v>
          </cell>
          <cell r="AV17">
            <v>34</v>
          </cell>
          <cell r="AW17">
            <v>33</v>
          </cell>
          <cell r="BC17">
            <v>1.7</v>
          </cell>
          <cell r="BD17">
            <v>1.78</v>
          </cell>
          <cell r="BE17">
            <v>1.78</v>
          </cell>
          <cell r="BK17">
            <v>2.93</v>
          </cell>
          <cell r="BL17">
            <v>3.03</v>
          </cell>
          <cell r="BM17">
            <v>3.02</v>
          </cell>
          <cell r="BS17">
            <v>4.5199999999999996</v>
          </cell>
          <cell r="BU17">
            <v>4.7699999999999996</v>
          </cell>
          <cell r="CB17">
            <v>17.8</v>
          </cell>
          <cell r="CC17">
            <v>18.399999999999999</v>
          </cell>
          <cell r="CI17">
            <v>52.7</v>
          </cell>
          <cell r="CQ17">
            <v>0.217</v>
          </cell>
          <cell r="CS17">
            <v>0.1</v>
          </cell>
          <cell r="CY17">
            <v>0.1</v>
          </cell>
        </row>
        <row r="18">
          <cell r="A18" t="str">
            <v>TYLER HARMON</v>
          </cell>
          <cell r="B18" t="str">
            <v>Men's Hockey</v>
          </cell>
          <cell r="C18" t="str">
            <v>Junior</v>
          </cell>
          <cell r="D18" t="str">
            <v>6'3</v>
          </cell>
          <cell r="E18">
            <v>202.4</v>
          </cell>
          <cell r="F18">
            <v>201.6</v>
          </cell>
          <cell r="I18">
            <v>215</v>
          </cell>
          <cell r="K18">
            <v>230</v>
          </cell>
          <cell r="Z18">
            <v>355</v>
          </cell>
          <cell r="AA18">
            <v>545</v>
          </cell>
          <cell r="AG18">
            <v>375</v>
          </cell>
          <cell r="AH18">
            <v>470</v>
          </cell>
          <cell r="AI18">
            <v>510</v>
          </cell>
          <cell r="AO18">
            <v>14.81</v>
          </cell>
          <cell r="AP18">
            <v>16.21</v>
          </cell>
          <cell r="AQ18">
            <v>14.58</v>
          </cell>
          <cell r="AW18">
            <v>31</v>
          </cell>
          <cell r="AX18">
            <v>32</v>
          </cell>
          <cell r="AY18">
            <v>29</v>
          </cell>
          <cell r="BE18">
            <v>1.68</v>
          </cell>
          <cell r="BF18">
            <v>1.71</v>
          </cell>
          <cell r="BG18">
            <v>1.6</v>
          </cell>
          <cell r="BM18">
            <v>2.95</v>
          </cell>
          <cell r="BN18">
            <v>2.95</v>
          </cell>
          <cell r="BO18">
            <v>2.89</v>
          </cell>
          <cell r="BU18">
            <v>4.4800000000000004</v>
          </cell>
          <cell r="BW18">
            <v>4.58</v>
          </cell>
          <cell r="CD18">
            <v>17.5</v>
          </cell>
          <cell r="CE18">
            <v>17.100000000000001</v>
          </cell>
          <cell r="CK18">
            <v>54</v>
          </cell>
          <cell r="CS18">
            <v>0.183</v>
          </cell>
          <cell r="CU18">
            <v>0.1</v>
          </cell>
          <cell r="DA18">
            <v>8.4000000000000005E-2</v>
          </cell>
        </row>
        <row r="19">
          <cell r="A19" t="str">
            <v>MAX KAUFMAN</v>
          </cell>
          <cell r="B19" t="str">
            <v>Men's Hockey</v>
          </cell>
          <cell r="C19" t="str">
            <v>Junior</v>
          </cell>
          <cell r="D19" t="str">
            <v>5'8</v>
          </cell>
          <cell r="E19">
            <v>174</v>
          </cell>
          <cell r="F19">
            <v>181.4</v>
          </cell>
          <cell r="I19">
            <v>250</v>
          </cell>
          <cell r="J19">
            <v>225</v>
          </cell>
          <cell r="K19">
            <v>270</v>
          </cell>
          <cell r="Z19">
            <v>375</v>
          </cell>
          <cell r="AG19">
            <v>445</v>
          </cell>
          <cell r="AH19">
            <v>390</v>
          </cell>
          <cell r="AI19">
            <v>495</v>
          </cell>
          <cell r="AO19">
            <v>17.89</v>
          </cell>
          <cell r="AP19">
            <v>17.52</v>
          </cell>
          <cell r="AW19">
            <v>34</v>
          </cell>
          <cell r="AX19">
            <v>36</v>
          </cell>
          <cell r="AY19">
            <v>36</v>
          </cell>
          <cell r="BE19">
            <v>1.61</v>
          </cell>
          <cell r="BF19">
            <v>1.7</v>
          </cell>
          <cell r="BG19">
            <v>1.64</v>
          </cell>
          <cell r="BM19">
            <v>2.82</v>
          </cell>
          <cell r="BN19">
            <v>2.91</v>
          </cell>
          <cell r="BO19">
            <v>2.85</v>
          </cell>
          <cell r="BU19">
            <v>4.3</v>
          </cell>
          <cell r="CD19">
            <v>17.600000000000001</v>
          </cell>
          <cell r="CE19">
            <v>18.399999999999999</v>
          </cell>
          <cell r="CK19">
            <v>51</v>
          </cell>
          <cell r="CS19">
            <v>0.3</v>
          </cell>
          <cell r="CU19">
            <v>0.23300000000000001</v>
          </cell>
          <cell r="DA19">
            <v>0.16800000000000001</v>
          </cell>
        </row>
        <row r="20">
          <cell r="A20" t="str">
            <v>BRIAN KELLY</v>
          </cell>
          <cell r="B20" t="str">
            <v>Men's Hockey</v>
          </cell>
          <cell r="C20" t="str">
            <v>Junior</v>
          </cell>
          <cell r="D20" t="str">
            <v>6'0</v>
          </cell>
          <cell r="E20">
            <v>178</v>
          </cell>
          <cell r="F20">
            <v>180.2</v>
          </cell>
          <cell r="I20">
            <v>195</v>
          </cell>
          <cell r="J20">
            <v>205</v>
          </cell>
          <cell r="K20">
            <v>210</v>
          </cell>
          <cell r="Z20">
            <v>310</v>
          </cell>
          <cell r="AA20">
            <v>425</v>
          </cell>
          <cell r="AG20">
            <v>425</v>
          </cell>
          <cell r="AH20">
            <v>390</v>
          </cell>
          <cell r="AI20">
            <v>490</v>
          </cell>
          <cell r="AO20">
            <v>17.010000000000002</v>
          </cell>
          <cell r="AP20">
            <v>18.59</v>
          </cell>
          <cell r="AQ20">
            <v>17</v>
          </cell>
          <cell r="AW20">
            <v>33</v>
          </cell>
          <cell r="AX20">
            <v>37</v>
          </cell>
          <cell r="AY20">
            <v>33</v>
          </cell>
          <cell r="BE20">
            <v>1.61</v>
          </cell>
          <cell r="BF20">
            <v>1.71</v>
          </cell>
          <cell r="BM20">
            <v>2.87</v>
          </cell>
          <cell r="BN20">
            <v>2.98</v>
          </cell>
          <cell r="BU20">
            <v>4.42</v>
          </cell>
          <cell r="BW20">
            <v>4.72</v>
          </cell>
          <cell r="CD20">
            <v>17.100000000000001</v>
          </cell>
          <cell r="CE20">
            <v>18.2</v>
          </cell>
          <cell r="CK20">
            <v>52</v>
          </cell>
          <cell r="CS20">
            <v>0.28299999999999997</v>
          </cell>
          <cell r="CU20">
            <v>0.26700000000000002</v>
          </cell>
          <cell r="DA20">
            <v>0.10100000000000001</v>
          </cell>
        </row>
        <row r="21">
          <cell r="A21" t="str">
            <v>STEFANOS LEKKAS</v>
          </cell>
          <cell r="B21" t="str">
            <v>Men's Hockey</v>
          </cell>
          <cell r="C21" t="str">
            <v>Senior</v>
          </cell>
          <cell r="D21" t="str">
            <v>6'0</v>
          </cell>
          <cell r="E21">
            <v>172.4</v>
          </cell>
          <cell r="F21">
            <v>180</v>
          </cell>
          <cell r="K21">
            <v>200</v>
          </cell>
          <cell r="M21">
            <v>205</v>
          </cell>
          <cell r="AB21">
            <v>275</v>
          </cell>
          <cell r="AC21">
            <v>425</v>
          </cell>
          <cell r="AI21">
            <v>365</v>
          </cell>
          <cell r="AJ21">
            <v>350</v>
          </cell>
          <cell r="AK21">
            <v>405</v>
          </cell>
          <cell r="AQ21">
            <v>15.2</v>
          </cell>
          <cell r="AR21">
            <v>15.21</v>
          </cell>
          <cell r="AS21">
            <v>15.64</v>
          </cell>
          <cell r="AY21">
            <v>31</v>
          </cell>
          <cell r="AZ21">
            <v>29</v>
          </cell>
          <cell r="BA21">
            <v>30</v>
          </cell>
          <cell r="BG21">
            <v>1.7</v>
          </cell>
          <cell r="BH21">
            <v>1.78</v>
          </cell>
          <cell r="BI21">
            <v>1.77</v>
          </cell>
          <cell r="BO21">
            <v>3.06</v>
          </cell>
          <cell r="BP21">
            <v>3.09</v>
          </cell>
          <cell r="BQ21">
            <v>3.1</v>
          </cell>
          <cell r="BW21">
            <v>4.42</v>
          </cell>
          <cell r="BY21">
            <v>4.6900000000000004</v>
          </cell>
          <cell r="CF21">
            <v>16.2</v>
          </cell>
          <cell r="CG21">
            <v>17.5</v>
          </cell>
          <cell r="CM21">
            <v>55.7</v>
          </cell>
          <cell r="CU21">
            <v>1.7000000000000001E-2</v>
          </cell>
          <cell r="CW21">
            <v>0.1</v>
          </cell>
          <cell r="DC21">
            <v>0.13100000000000001</v>
          </cell>
        </row>
        <row r="22">
          <cell r="A22" t="str">
            <v>WILLIAM LEMAY</v>
          </cell>
          <cell r="B22" t="str">
            <v>Men's Hockey</v>
          </cell>
          <cell r="C22" t="str">
            <v>Freshman</v>
          </cell>
          <cell r="G22">
            <v>205</v>
          </cell>
          <cell r="AE22">
            <v>330</v>
          </cell>
          <cell r="AM22">
            <v>18.98</v>
          </cell>
          <cell r="AU22">
            <v>40</v>
          </cell>
          <cell r="BC22">
            <v>1.63</v>
          </cell>
          <cell r="BK22">
            <v>2.87</v>
          </cell>
          <cell r="BS22">
            <v>4.5599999999999996</v>
          </cell>
          <cell r="CA22">
            <v>18.2</v>
          </cell>
          <cell r="CQ22">
            <v>0.16700000000000001</v>
          </cell>
        </row>
        <row r="23">
          <cell r="A23" t="str">
            <v>DEREK LODERMEIER</v>
          </cell>
          <cell r="B23" t="str">
            <v>Men's Hockey</v>
          </cell>
          <cell r="C23" t="str">
            <v>Senior</v>
          </cell>
          <cell r="D23" t="str">
            <v>6'2</v>
          </cell>
          <cell r="E23">
            <v>215.8</v>
          </cell>
          <cell r="F23">
            <v>221.4</v>
          </cell>
          <cell r="K23">
            <v>240</v>
          </cell>
          <cell r="L23">
            <v>245</v>
          </cell>
          <cell r="M23">
            <v>270</v>
          </cell>
          <cell r="AB23">
            <v>420</v>
          </cell>
          <cell r="AC23">
            <v>565</v>
          </cell>
          <cell r="AI23">
            <v>495</v>
          </cell>
          <cell r="AJ23">
            <v>470</v>
          </cell>
          <cell r="AK23">
            <v>585</v>
          </cell>
          <cell r="AQ23">
            <v>16.739999999999998</v>
          </cell>
          <cell r="AS23">
            <v>16.190000000000001</v>
          </cell>
          <cell r="AY23">
            <v>33</v>
          </cell>
          <cell r="AZ23">
            <v>31</v>
          </cell>
          <cell r="BA23">
            <v>31</v>
          </cell>
          <cell r="BG23">
            <v>1.7</v>
          </cell>
          <cell r="BH23">
            <v>1.75</v>
          </cell>
          <cell r="BI23">
            <v>1.74</v>
          </cell>
          <cell r="BO23">
            <v>2.97</v>
          </cell>
          <cell r="BP23">
            <v>3</v>
          </cell>
          <cell r="BQ23">
            <v>3</v>
          </cell>
          <cell r="BW23">
            <v>4.49</v>
          </cell>
          <cell r="BY23">
            <v>4.72</v>
          </cell>
          <cell r="CF23">
            <v>16.5</v>
          </cell>
          <cell r="CG23">
            <v>17.100000000000001</v>
          </cell>
          <cell r="CM23">
            <v>53.7</v>
          </cell>
          <cell r="CU23">
            <v>0.183</v>
          </cell>
          <cell r="CW23">
            <v>0.26700000000000002</v>
          </cell>
          <cell r="DC23">
            <v>0.10100000000000001</v>
          </cell>
        </row>
        <row r="24">
          <cell r="A24" t="str">
            <v>CARTER LONG</v>
          </cell>
          <cell r="B24" t="str">
            <v>Men's Hockey</v>
          </cell>
          <cell r="C24" t="str">
            <v>Sophomore</v>
          </cell>
          <cell r="D24" t="str">
            <v>6'3</v>
          </cell>
          <cell r="E24">
            <v>216.6</v>
          </cell>
          <cell r="F24">
            <v>224.6</v>
          </cell>
          <cell r="G24">
            <v>250</v>
          </cell>
          <cell r="H24">
            <v>255</v>
          </cell>
          <cell r="I24">
            <v>270</v>
          </cell>
          <cell r="X24">
            <v>355</v>
          </cell>
          <cell r="Y24">
            <v>525</v>
          </cell>
          <cell r="AE24">
            <v>470</v>
          </cell>
          <cell r="AF24">
            <v>470</v>
          </cell>
          <cell r="AG24">
            <v>585</v>
          </cell>
          <cell r="AM24">
            <v>19.54</v>
          </cell>
          <cell r="AN24">
            <v>18.46</v>
          </cell>
          <cell r="AO24">
            <v>19.850000000000001</v>
          </cell>
          <cell r="AU24">
            <v>33</v>
          </cell>
          <cell r="AV24">
            <v>33</v>
          </cell>
          <cell r="AW24">
            <v>33</v>
          </cell>
          <cell r="BC24">
            <v>1.7</v>
          </cell>
          <cell r="BD24">
            <v>1.73</v>
          </cell>
          <cell r="BE24">
            <v>1.74</v>
          </cell>
          <cell r="BK24">
            <v>2.94</v>
          </cell>
          <cell r="BL24">
            <v>2.95</v>
          </cell>
          <cell r="BM24">
            <v>2.98</v>
          </cell>
          <cell r="BS24">
            <v>4.34</v>
          </cell>
          <cell r="BU24">
            <v>4.41</v>
          </cell>
          <cell r="CB24">
            <v>16.5</v>
          </cell>
          <cell r="CC24">
            <v>17.100000000000001</v>
          </cell>
          <cell r="CI24">
            <v>54.3</v>
          </cell>
          <cell r="CQ24">
            <v>8.3000000000000004E-2</v>
          </cell>
          <cell r="CS24">
            <v>3.3000000000000002E-2</v>
          </cell>
          <cell r="CY24">
            <v>8.2000000000000003E-2</v>
          </cell>
        </row>
        <row r="25">
          <cell r="A25" t="str">
            <v>ANDREW LUCAS</v>
          </cell>
          <cell r="B25" t="str">
            <v>Men's Hockey</v>
          </cell>
          <cell r="C25" t="str">
            <v>Freshman</v>
          </cell>
          <cell r="G25">
            <v>195</v>
          </cell>
          <cell r="AE25">
            <v>330</v>
          </cell>
          <cell r="AM25">
            <v>17.940000000000001</v>
          </cell>
          <cell r="AU25">
            <v>33</v>
          </cell>
          <cell r="BC25">
            <v>1.68</v>
          </cell>
          <cell r="BK25">
            <v>2.95</v>
          </cell>
          <cell r="BS25">
            <v>4.6500000000000004</v>
          </cell>
          <cell r="CA25">
            <v>18.399999999999999</v>
          </cell>
          <cell r="CQ25">
            <v>0.3</v>
          </cell>
        </row>
        <row r="26">
          <cell r="A26" t="str">
            <v>RILEY MCCUTCHEON</v>
          </cell>
          <cell r="B26" t="str">
            <v>Men's Hockey</v>
          </cell>
          <cell r="C26" t="str">
            <v>Freshman</v>
          </cell>
          <cell r="G26">
            <v>180</v>
          </cell>
          <cell r="AE26">
            <v>310</v>
          </cell>
          <cell r="AM26">
            <v>19.07</v>
          </cell>
          <cell r="AU26">
            <v>33</v>
          </cell>
          <cell r="BC26">
            <v>1.74</v>
          </cell>
          <cell r="BK26">
            <v>3</v>
          </cell>
          <cell r="BS26">
            <v>4.6900000000000004</v>
          </cell>
          <cell r="CA26">
            <v>17.2</v>
          </cell>
        </row>
        <row r="27">
          <cell r="A27" t="str">
            <v>BRYCE MISLEY</v>
          </cell>
          <cell r="B27" t="str">
            <v>Men's Hockey</v>
          </cell>
          <cell r="C27" t="str">
            <v>Junior</v>
          </cell>
          <cell r="D27" t="str">
            <v>6'2</v>
          </cell>
          <cell r="E27">
            <v>191.4</v>
          </cell>
          <cell r="F27">
            <v>193.6</v>
          </cell>
          <cell r="I27">
            <v>240</v>
          </cell>
          <cell r="J27">
            <v>235</v>
          </cell>
          <cell r="K27">
            <v>260</v>
          </cell>
          <cell r="Z27">
            <v>335</v>
          </cell>
          <cell r="AA27">
            <v>475</v>
          </cell>
          <cell r="AG27">
            <v>445</v>
          </cell>
          <cell r="AH27">
            <v>470</v>
          </cell>
          <cell r="AI27">
            <v>500</v>
          </cell>
          <cell r="AO27">
            <v>17.98</v>
          </cell>
          <cell r="AQ27">
            <v>16.53</v>
          </cell>
          <cell r="AW27">
            <v>29</v>
          </cell>
          <cell r="AX27">
            <v>30</v>
          </cell>
          <cell r="AY27">
            <v>30</v>
          </cell>
          <cell r="BE27">
            <v>1.67</v>
          </cell>
          <cell r="BF27">
            <v>1.81</v>
          </cell>
          <cell r="BG27">
            <v>1.76</v>
          </cell>
          <cell r="BM27">
            <v>2.89</v>
          </cell>
          <cell r="BN27">
            <v>3.05</v>
          </cell>
          <cell r="BO27">
            <v>3.02</v>
          </cell>
          <cell r="BU27">
            <v>4.25</v>
          </cell>
          <cell r="BW27">
            <v>4.67</v>
          </cell>
          <cell r="CD27">
            <v>18.100000000000001</v>
          </cell>
          <cell r="CE27">
            <v>18.600000000000001</v>
          </cell>
          <cell r="CK27">
            <v>53.7</v>
          </cell>
          <cell r="CS27">
            <v>0.1</v>
          </cell>
          <cell r="CU27">
            <v>6.7000000000000004E-2</v>
          </cell>
          <cell r="DA27">
            <v>8.1000000000000003E-2</v>
          </cell>
        </row>
        <row r="28">
          <cell r="A28" t="str">
            <v>COREY MORIARTY</v>
          </cell>
          <cell r="B28" t="str">
            <v>Men's Hockey</v>
          </cell>
          <cell r="C28" t="str">
            <v>Senior</v>
          </cell>
          <cell r="D28" t="str">
            <v>5'10</v>
          </cell>
          <cell r="E28">
            <v>174</v>
          </cell>
          <cell r="F28">
            <v>174.2</v>
          </cell>
          <cell r="K28">
            <v>275</v>
          </cell>
          <cell r="L28">
            <v>280</v>
          </cell>
          <cell r="M28">
            <v>295</v>
          </cell>
          <cell r="AB28">
            <v>310</v>
          </cell>
          <cell r="AC28">
            <v>505</v>
          </cell>
          <cell r="AI28">
            <v>460</v>
          </cell>
          <cell r="AJ28">
            <v>470</v>
          </cell>
          <cell r="AK28">
            <v>505</v>
          </cell>
          <cell r="AQ28">
            <v>18.38</v>
          </cell>
          <cell r="AS28">
            <v>18.96</v>
          </cell>
          <cell r="AY28">
            <v>37</v>
          </cell>
          <cell r="AZ28">
            <v>38</v>
          </cell>
          <cell r="BA28">
            <v>40</v>
          </cell>
          <cell r="BG28">
            <v>1.69</v>
          </cell>
          <cell r="BH28">
            <v>1.66</v>
          </cell>
          <cell r="BI28">
            <v>1.68</v>
          </cell>
          <cell r="BO28">
            <v>2.93</v>
          </cell>
          <cell r="BP28">
            <v>2.87</v>
          </cell>
          <cell r="BQ28">
            <v>2.95</v>
          </cell>
          <cell r="BW28">
            <v>4.3899999999999997</v>
          </cell>
          <cell r="BY28">
            <v>4.6900000000000004</v>
          </cell>
          <cell r="CF28">
            <v>18.100000000000001</v>
          </cell>
          <cell r="CG28">
            <v>18.2</v>
          </cell>
          <cell r="CM28">
            <v>53.3</v>
          </cell>
          <cell r="CU28">
            <v>0.25</v>
          </cell>
          <cell r="CW28">
            <v>0.16700000000000001</v>
          </cell>
          <cell r="DC28">
            <v>0.105</v>
          </cell>
        </row>
        <row r="29">
          <cell r="A29" t="str">
            <v>MATT O'DONNELL</v>
          </cell>
          <cell r="B29" t="str">
            <v>Men's Hockey</v>
          </cell>
          <cell r="C29" t="str">
            <v>Senior</v>
          </cell>
          <cell r="D29" t="str">
            <v>5'10</v>
          </cell>
          <cell r="E29">
            <v>193.8</v>
          </cell>
          <cell r="F29">
            <v>193.8</v>
          </cell>
          <cell r="K29">
            <v>255</v>
          </cell>
          <cell r="L29">
            <v>240</v>
          </cell>
          <cell r="M29">
            <v>250</v>
          </cell>
          <cell r="AB29">
            <v>355</v>
          </cell>
          <cell r="AC29">
            <v>470</v>
          </cell>
          <cell r="AI29">
            <v>435</v>
          </cell>
          <cell r="AJ29">
            <v>365</v>
          </cell>
          <cell r="AK29">
            <v>495</v>
          </cell>
          <cell r="AQ29">
            <v>15.33</v>
          </cell>
          <cell r="AR29">
            <v>15.65</v>
          </cell>
          <cell r="AY29">
            <v>29</v>
          </cell>
          <cell r="AZ29">
            <v>31</v>
          </cell>
          <cell r="BG29">
            <v>1.71</v>
          </cell>
          <cell r="BH29">
            <v>1.79</v>
          </cell>
          <cell r="BI29">
            <v>1.82</v>
          </cell>
          <cell r="BO29">
            <v>2.95</v>
          </cell>
          <cell r="BP29">
            <v>3</v>
          </cell>
          <cell r="BQ29">
            <v>3.05</v>
          </cell>
          <cell r="BW29">
            <v>4.54</v>
          </cell>
          <cell r="BY29">
            <v>4.68</v>
          </cell>
          <cell r="CF29">
            <v>18.399999999999999</v>
          </cell>
          <cell r="CG29">
            <v>17.100000000000001</v>
          </cell>
          <cell r="CM29">
            <v>53.7</v>
          </cell>
          <cell r="CU29">
            <v>0.13300000000000001</v>
          </cell>
          <cell r="CW29">
            <v>0.183</v>
          </cell>
          <cell r="DC29">
            <v>0.14099999999999999</v>
          </cell>
        </row>
        <row r="30">
          <cell r="A30" t="str">
            <v>ANDREW PETRILLO</v>
          </cell>
          <cell r="B30" t="str">
            <v>Men's Hockey</v>
          </cell>
          <cell r="C30" t="str">
            <v>Sophomore</v>
          </cell>
          <cell r="D30" t="str">
            <v>5'11</v>
          </cell>
          <cell r="E30">
            <v>178.6</v>
          </cell>
          <cell r="F30">
            <v>191</v>
          </cell>
          <cell r="G30">
            <v>250</v>
          </cell>
          <cell r="H30">
            <v>260</v>
          </cell>
          <cell r="I30">
            <v>270</v>
          </cell>
          <cell r="X30">
            <v>355</v>
          </cell>
          <cell r="Y30">
            <v>505</v>
          </cell>
          <cell r="AE30">
            <v>470</v>
          </cell>
          <cell r="AF30">
            <v>515</v>
          </cell>
          <cell r="AG30">
            <v>560</v>
          </cell>
          <cell r="AM30">
            <v>18.63</v>
          </cell>
          <cell r="AN30">
            <v>18.260000000000002</v>
          </cell>
          <cell r="AO30">
            <v>18.05</v>
          </cell>
          <cell r="AU30">
            <v>35</v>
          </cell>
          <cell r="AV30">
            <v>35</v>
          </cell>
          <cell r="AW30">
            <v>35</v>
          </cell>
          <cell r="BC30">
            <v>1.64</v>
          </cell>
          <cell r="BD30">
            <v>1.73</v>
          </cell>
          <cell r="BE30">
            <v>1.69</v>
          </cell>
          <cell r="BK30">
            <v>2.87</v>
          </cell>
          <cell r="BL30">
            <v>2.96</v>
          </cell>
          <cell r="BM30">
            <v>2.9</v>
          </cell>
          <cell r="BS30">
            <v>4.43</v>
          </cell>
          <cell r="BU30">
            <v>4.51</v>
          </cell>
          <cell r="CB30">
            <v>17.5</v>
          </cell>
          <cell r="CC30">
            <v>18.399999999999999</v>
          </cell>
          <cell r="CI30">
            <v>53.3</v>
          </cell>
          <cell r="CQ30">
            <v>0.183</v>
          </cell>
          <cell r="CS30">
            <v>0.15</v>
          </cell>
          <cell r="CY30">
            <v>0.10100000000000001</v>
          </cell>
        </row>
        <row r="31">
          <cell r="A31" t="str">
            <v>WHIM STALBERG</v>
          </cell>
          <cell r="B31" t="str">
            <v>Men's Hockey</v>
          </cell>
          <cell r="C31" t="str">
            <v>Freshman</v>
          </cell>
          <cell r="G31">
            <v>165</v>
          </cell>
          <cell r="AE31">
            <v>310</v>
          </cell>
          <cell r="BC31">
            <v>1.68</v>
          </cell>
          <cell r="BK31">
            <v>2.93</v>
          </cell>
          <cell r="BS31">
            <v>4.7300000000000004</v>
          </cell>
          <cell r="CA31">
            <v>17.399999999999999</v>
          </cell>
          <cell r="CQ31">
            <v>0.183</v>
          </cell>
        </row>
        <row r="32">
          <cell r="A32" t="str">
            <v>CORY THOMAS</v>
          </cell>
          <cell r="B32" t="str">
            <v>Men's Hockey</v>
          </cell>
          <cell r="C32" t="str">
            <v>Junior</v>
          </cell>
          <cell r="D32" t="str">
            <v>6'4</v>
          </cell>
          <cell r="E32">
            <v>218.6</v>
          </cell>
          <cell r="F32">
            <v>215.6</v>
          </cell>
          <cell r="I32">
            <v>250</v>
          </cell>
          <cell r="J32">
            <v>265</v>
          </cell>
          <cell r="K32">
            <v>270</v>
          </cell>
          <cell r="Y32">
            <v>455</v>
          </cell>
          <cell r="AH32">
            <v>470</v>
          </cell>
          <cell r="AI32">
            <v>530</v>
          </cell>
          <cell r="AO32">
            <v>18.059999999999999</v>
          </cell>
          <cell r="AQ32">
            <v>17.45</v>
          </cell>
          <cell r="AW32">
            <v>35</v>
          </cell>
          <cell r="AX32">
            <v>36</v>
          </cell>
          <cell r="AY32">
            <v>34</v>
          </cell>
          <cell r="BE32">
            <v>1.6</v>
          </cell>
          <cell r="BF32">
            <v>1.68</v>
          </cell>
          <cell r="BG32">
            <v>1.68</v>
          </cell>
          <cell r="BM32">
            <v>2.78</v>
          </cell>
          <cell r="BN32">
            <v>2.88</v>
          </cell>
          <cell r="BO32">
            <v>2.9</v>
          </cell>
          <cell r="BU32">
            <v>4.59</v>
          </cell>
          <cell r="BW32">
            <v>4.59</v>
          </cell>
          <cell r="CD32">
            <v>17.3</v>
          </cell>
          <cell r="CE32">
            <v>17.3</v>
          </cell>
          <cell r="CK32">
            <v>52</v>
          </cell>
          <cell r="CS32">
            <v>0.1</v>
          </cell>
          <cell r="CU32">
            <v>0.2</v>
          </cell>
          <cell r="DA32">
            <v>0.1</v>
          </cell>
        </row>
      </sheetData>
      <sheetData sheetId="2">
        <row r="41">
          <cell r="A41" t="str">
            <v>MATT ALVARO</v>
          </cell>
          <cell r="B41">
            <v>1.1256183220865379</v>
          </cell>
          <cell r="C41" t="str">
            <v>NoTest</v>
          </cell>
          <cell r="D41">
            <v>0.7211507071619554</v>
          </cell>
          <cell r="E41">
            <v>0.61662567071982133</v>
          </cell>
          <cell r="F41">
            <v>-0.14084964371195255</v>
          </cell>
          <cell r="G41">
            <v>0.17149858514250882</v>
          </cell>
          <cell r="H41">
            <v>8.9483621281765055E-2</v>
          </cell>
          <cell r="I41">
            <v>6.7402069221304636E-2</v>
          </cell>
          <cell r="J41">
            <v>-9.8658952799113867E-2</v>
          </cell>
          <cell r="K41">
            <v>0.37649856862032482</v>
          </cell>
          <cell r="L41" t="str">
            <v>NoTest</v>
          </cell>
          <cell r="M41">
            <v>0.25402343651594445</v>
          </cell>
          <cell r="N41" t="str">
            <v>NoTest</v>
          </cell>
          <cell r="O41" t="str">
            <v>NoTest</v>
          </cell>
          <cell r="P41" t="str">
            <v>NoTest</v>
          </cell>
        </row>
        <row r="42">
          <cell r="A42" t="str">
            <v>MATT BECK</v>
          </cell>
          <cell r="B42">
            <v>-0.39695718604984148</v>
          </cell>
          <cell r="C42" t="str">
            <v>NoTest</v>
          </cell>
          <cell r="D42">
            <v>0.49660078636901128</v>
          </cell>
          <cell r="E42">
            <v>5.605687915634739E-2</v>
          </cell>
          <cell r="F42">
            <v>-0.75989580936467194</v>
          </cell>
          <cell r="G42">
            <v>-0.17149858514250882</v>
          </cell>
          <cell r="H42">
            <v>-9.6366976764977436E-2</v>
          </cell>
          <cell r="I42">
            <v>-1.0525092347632408</v>
          </cell>
          <cell r="J42">
            <v>-0.81583364814651049</v>
          </cell>
          <cell r="K42">
            <v>-0.75299713724065365</v>
          </cell>
          <cell r="L42" t="str">
            <v>NoTest</v>
          </cell>
          <cell r="M42">
            <v>1.1445823447666097</v>
          </cell>
          <cell r="N42" t="str">
            <v>NoTest</v>
          </cell>
          <cell r="O42" t="str">
            <v>NoTest</v>
          </cell>
          <cell r="P42" t="str">
            <v>NoTest</v>
          </cell>
        </row>
        <row r="43">
          <cell r="A43" t="str">
            <v>JACQUES BOUQUOT</v>
          </cell>
          <cell r="B43">
            <v>-0.24469963523620356</v>
          </cell>
          <cell r="C43" t="str">
            <v>NoTest</v>
          </cell>
          <cell r="D43">
            <v>-1.6366234611639583</v>
          </cell>
          <cell r="E43">
            <v>-1.4574788580650322</v>
          </cell>
          <cell r="F43">
            <v>0.25187856890643934</v>
          </cell>
          <cell r="G43">
            <v>0.17149858514250882</v>
          </cell>
          <cell r="H43">
            <v>0.27533421932850755</v>
          </cell>
          <cell r="I43">
            <v>1.6072801122000515</v>
          </cell>
          <cell r="J43">
            <v>-9.8658952799113867E-2</v>
          </cell>
          <cell r="K43">
            <v>1.167145562723013</v>
          </cell>
          <cell r="L43" t="str">
            <v>NoTest</v>
          </cell>
          <cell r="M43">
            <v>-0.84920625579458153</v>
          </cell>
          <cell r="N43" t="str">
            <v>NoTest</v>
          </cell>
          <cell r="O43" t="str">
            <v>NoTest</v>
          </cell>
          <cell r="P43" t="str">
            <v>NoTest</v>
          </cell>
        </row>
        <row r="44">
          <cell r="A44" t="str">
            <v>SIMON BOYKO</v>
          </cell>
          <cell r="B44">
            <v>-1.462760041745307</v>
          </cell>
          <cell r="C44" t="str">
            <v>NoTest</v>
          </cell>
          <cell r="D44">
            <v>-1.7863234083592543</v>
          </cell>
          <cell r="E44">
            <v>-1.4574788580650322</v>
          </cell>
          <cell r="F44">
            <v>-0.54689067709706929</v>
          </cell>
          <cell r="G44">
            <v>-0.17149858514250882</v>
          </cell>
          <cell r="H44">
            <v>-1.5831717611389173</v>
          </cell>
          <cell r="I44">
            <v>-1.7524537997535787</v>
          </cell>
          <cell r="J44">
            <v>-1.5330083434939161</v>
          </cell>
          <cell r="K44">
            <v>0.82829685096471861</v>
          </cell>
          <cell r="L44" t="str">
            <v>NoTest</v>
          </cell>
          <cell r="M44">
            <v>0.25402343651594445</v>
          </cell>
          <cell r="N44" t="str">
            <v>NoTest</v>
          </cell>
          <cell r="O44" t="str">
            <v>NoTest</v>
          </cell>
          <cell r="P44" t="str">
            <v>NoTest</v>
          </cell>
        </row>
        <row r="45">
          <cell r="A45" t="str">
            <v>JOEY CIPOLLONE</v>
          </cell>
          <cell r="B45">
            <v>-0.39695718604984148</v>
          </cell>
          <cell r="C45" t="str">
            <v>NoTest</v>
          </cell>
          <cell r="D45">
            <v>0.12235091838077101</v>
          </cell>
          <cell r="E45">
            <v>0.16817063746904218</v>
          </cell>
          <cell r="F45">
            <v>-1.6385419799685321</v>
          </cell>
          <cell r="G45">
            <v>-1.5434872662825794</v>
          </cell>
          <cell r="H45">
            <v>-1.0256199669986898</v>
          </cell>
          <cell r="I45">
            <v>-0.21257575677483173</v>
          </cell>
          <cell r="J45">
            <v>-1.0207407039600589</v>
          </cell>
          <cell r="K45">
            <v>1.2800951333091084</v>
          </cell>
          <cell r="L45" t="str">
            <v>NoTest</v>
          </cell>
          <cell r="M45">
            <v>-1.7397651640452469</v>
          </cell>
          <cell r="N45" t="str">
            <v>NoTest</v>
          </cell>
          <cell r="O45" t="str">
            <v>NoTest</v>
          </cell>
          <cell r="P45" t="str">
            <v>NoTest</v>
          </cell>
        </row>
        <row r="46">
          <cell r="A46" t="str">
            <v>DALLAS COMEAU</v>
          </cell>
          <cell r="B46">
            <v>0.51658811883198608</v>
          </cell>
          <cell r="C46" t="str">
            <v>NoTest</v>
          </cell>
          <cell r="D46">
            <v>0.79600068075960351</v>
          </cell>
          <cell r="E46">
            <v>0.28028439578173697</v>
          </cell>
          <cell r="F46">
            <v>0.97077089030959873</v>
          </cell>
          <cell r="G46">
            <v>0.51449575542752646</v>
          </cell>
          <cell r="H46">
            <v>1.3904378076089625</v>
          </cell>
          <cell r="I46">
            <v>1.7472690251981229</v>
          </cell>
          <cell r="J46">
            <v>1.5405974937092368</v>
          </cell>
          <cell r="K46">
            <v>1.2800951333091084</v>
          </cell>
          <cell r="L46" t="str">
            <v>NoTest</v>
          </cell>
          <cell r="M46">
            <v>0.25402343651594445</v>
          </cell>
          <cell r="N46" t="str">
            <v>NoTest</v>
          </cell>
          <cell r="O46" t="str">
            <v>NoTest</v>
          </cell>
          <cell r="P46" t="str">
            <v>NoTest</v>
          </cell>
        </row>
        <row r="47">
          <cell r="A47" t="str">
            <v>ACE COWANS</v>
          </cell>
          <cell r="B47">
            <v>-9.2442084422565643E-2</v>
          </cell>
          <cell r="C47" t="str">
            <v>NoTest</v>
          </cell>
          <cell r="D47">
            <v>0.42175081277136323</v>
          </cell>
          <cell r="E47">
            <v>0.44845503325077912</v>
          </cell>
          <cell r="F47">
            <v>0.23856574813971446</v>
          </cell>
          <cell r="G47">
            <v>0.51449575542752646</v>
          </cell>
          <cell r="H47">
            <v>-0.46806817285846242</v>
          </cell>
          <cell r="I47">
            <v>0.347379895217441</v>
          </cell>
          <cell r="J47">
            <v>-0.2011124807058835</v>
          </cell>
          <cell r="K47">
            <v>0.48944813920642433</v>
          </cell>
          <cell r="L47" t="str">
            <v>NoTest</v>
          </cell>
          <cell r="M47">
            <v>1.8091785449536737</v>
          </cell>
          <cell r="N47" t="str">
            <v>NoTest</v>
          </cell>
          <cell r="O47" t="str">
            <v>NoTest</v>
          </cell>
          <cell r="P47" t="str">
            <v>NoTest</v>
          </cell>
        </row>
        <row r="48">
          <cell r="A48" t="str">
            <v>JOHNNY DEROCHE</v>
          </cell>
          <cell r="B48">
            <v>-0.54921473686347944</v>
          </cell>
          <cell r="C48" t="str">
            <v>NoTest</v>
          </cell>
          <cell r="D48">
            <v>0.12235091838077101</v>
          </cell>
          <cell r="E48">
            <v>-0.39239815409443174</v>
          </cell>
          <cell r="F48">
            <v>9.8781130089099792E-2</v>
          </cell>
          <cell r="G48">
            <v>-0.8574929257125441</v>
          </cell>
          <cell r="H48">
            <v>-0.83976936895194743</v>
          </cell>
          <cell r="I48">
            <v>-1.0525092347632408</v>
          </cell>
          <cell r="J48">
            <v>0.51606221464152224</v>
          </cell>
          <cell r="K48">
            <v>0.60239770979252372</v>
          </cell>
          <cell r="L48" t="str">
            <v>NoTest</v>
          </cell>
          <cell r="M48">
            <v>-0.84920625579458153</v>
          </cell>
          <cell r="N48" t="str">
            <v>NoTest</v>
          </cell>
          <cell r="O48" t="str">
            <v>NoTest</v>
          </cell>
          <cell r="P48" t="str">
            <v>NoTest</v>
          </cell>
        </row>
        <row r="49">
          <cell r="A49" t="str">
            <v>VLAD DZHIOSHVILI</v>
          </cell>
          <cell r="B49">
            <v>-0.85372983849075523</v>
          </cell>
          <cell r="C49" t="str">
            <v>NoTest</v>
          </cell>
          <cell r="D49" t="str">
            <v>NoTest</v>
          </cell>
          <cell r="E49" t="str">
            <v>NoTest</v>
          </cell>
          <cell r="F49">
            <v>-1.8848291641529469</v>
          </cell>
          <cell r="G49">
            <v>-1.2004900959975617</v>
          </cell>
          <cell r="H49">
            <v>0.46118481737525002</v>
          </cell>
          <cell r="I49">
            <v>-0.21257575677483173</v>
          </cell>
          <cell r="J49">
            <v>-0.30356600861265315</v>
          </cell>
          <cell r="K49" t="str">
            <v>NoTest</v>
          </cell>
          <cell r="L49" t="str">
            <v>NoTest</v>
          </cell>
          <cell r="M49" t="str">
            <v>NoTest</v>
          </cell>
          <cell r="N49" t="str">
            <v>NoTest</v>
          </cell>
          <cell r="O49" t="str">
            <v>NoTest</v>
          </cell>
          <cell r="P49" t="str">
            <v>NoTest</v>
          </cell>
        </row>
        <row r="50">
          <cell r="A50" t="str">
            <v>ALEX ESPOSITO</v>
          </cell>
          <cell r="B50">
            <v>0.36433056801834812</v>
          </cell>
          <cell r="C50" t="str">
            <v>NoTest</v>
          </cell>
          <cell r="D50">
            <v>0.12235091838077101</v>
          </cell>
          <cell r="E50">
            <v>-0.95296694565790574</v>
          </cell>
          <cell r="F50">
            <v>-0.26732144099583999</v>
          </cell>
          <cell r="G50">
            <v>0.17149858514250882</v>
          </cell>
          <cell r="H50">
            <v>0.46118481737525002</v>
          </cell>
          <cell r="I50">
            <v>0.347379895217441</v>
          </cell>
          <cell r="J50">
            <v>1.7455045495227852</v>
          </cell>
          <cell r="K50">
            <v>-1.5436441313433378</v>
          </cell>
          <cell r="L50" t="str">
            <v>NoTest</v>
          </cell>
          <cell r="M50">
            <v>2.806072845234283E-2</v>
          </cell>
          <cell r="N50" t="str">
            <v>NoTest</v>
          </cell>
          <cell r="O50" t="str">
            <v>NoTest</v>
          </cell>
          <cell r="P50" t="str">
            <v>NoTest</v>
          </cell>
        </row>
        <row r="51">
          <cell r="A51" t="str">
            <v>CHRISTIAN EVERS</v>
          </cell>
          <cell r="B51">
            <v>-0.24469963523620356</v>
          </cell>
          <cell r="C51" t="str">
            <v>NoTest</v>
          </cell>
          <cell r="D51">
            <v>0.12235091838077101</v>
          </cell>
          <cell r="E51">
            <v>-5.605687915634739E-2</v>
          </cell>
          <cell r="F51">
            <v>1.3035914094777274</v>
          </cell>
          <cell r="G51">
            <v>1.5434872662825794</v>
          </cell>
          <cell r="H51">
            <v>0.27533421932850755</v>
          </cell>
          <cell r="I51">
            <v>6.7402069221304636E-2</v>
          </cell>
          <cell r="J51">
            <v>-0.6109265923329712</v>
          </cell>
          <cell r="K51">
            <v>-2.108391984273827</v>
          </cell>
          <cell r="L51" t="str">
            <v>NoTest</v>
          </cell>
          <cell r="M51">
            <v>0.69265692863940664</v>
          </cell>
          <cell r="N51" t="str">
            <v>NoTest</v>
          </cell>
          <cell r="O51" t="str">
            <v>NoTest</v>
          </cell>
          <cell r="P51" t="str">
            <v>NoTest</v>
          </cell>
        </row>
        <row r="52">
          <cell r="A52" t="str">
            <v>OWEN GRANT</v>
          </cell>
          <cell r="B52">
            <v>-9.2442084422565643E-2</v>
          </cell>
          <cell r="C52" t="str">
            <v>NoTest</v>
          </cell>
          <cell r="D52">
            <v>0.49660078636901128</v>
          </cell>
          <cell r="E52">
            <v>0.95296694565790574</v>
          </cell>
          <cell r="F52">
            <v>0.44491447002395346</v>
          </cell>
          <cell r="G52">
            <v>0.51449575542752646</v>
          </cell>
          <cell r="H52">
            <v>-0.65391877090520489</v>
          </cell>
          <cell r="I52">
            <v>-0.77253140876710447</v>
          </cell>
          <cell r="J52">
            <v>1.4381439658024673</v>
          </cell>
          <cell r="K52">
            <v>2.2966412685839916</v>
          </cell>
          <cell r="L52" t="str">
            <v>NoTest</v>
          </cell>
          <cell r="M52">
            <v>-0.18461005560751778</v>
          </cell>
          <cell r="N52" t="str">
            <v>NoTest</v>
          </cell>
          <cell r="O52" t="str">
            <v>NoTest</v>
          </cell>
          <cell r="P52" t="str">
            <v>NoTest</v>
          </cell>
        </row>
        <row r="53">
          <cell r="A53" t="str">
            <v>NIC HAMRE</v>
          </cell>
          <cell r="B53">
            <v>0.82110322045926187</v>
          </cell>
          <cell r="C53" t="str">
            <v>NoTest</v>
          </cell>
          <cell r="D53">
            <v>0.79600068075960351</v>
          </cell>
          <cell r="E53">
            <v>1.3453650997523374</v>
          </cell>
          <cell r="F53">
            <v>-0.93296247933209875</v>
          </cell>
          <cell r="G53">
            <v>-0.17149858514250882</v>
          </cell>
          <cell r="H53">
            <v>-1.2114705650454323</v>
          </cell>
          <cell r="I53">
            <v>-0.77253140876710447</v>
          </cell>
          <cell r="J53">
            <v>-1.3281012876803677</v>
          </cell>
          <cell r="K53">
            <v>0.37649856862032482</v>
          </cell>
          <cell r="L53" t="str">
            <v>NoTest</v>
          </cell>
          <cell r="M53">
            <v>0.91861963670300817</v>
          </cell>
          <cell r="N53" t="str">
            <v>NoTest</v>
          </cell>
          <cell r="O53" t="str">
            <v>NoTest</v>
          </cell>
          <cell r="P53" t="str">
            <v>NoTest</v>
          </cell>
        </row>
        <row r="54">
          <cell r="A54" t="str">
            <v>TYLER HARMON</v>
          </cell>
          <cell r="B54">
            <v>-9.2442084422565643E-2</v>
          </cell>
          <cell r="C54" t="str">
            <v>NoTest</v>
          </cell>
          <cell r="D54">
            <v>1.0205506015525476</v>
          </cell>
          <cell r="E54">
            <v>0.56056879156347394</v>
          </cell>
          <cell r="F54">
            <v>-1.7184189045688825</v>
          </cell>
          <cell r="G54">
            <v>-1.5434872662825794</v>
          </cell>
          <cell r="H54">
            <v>2.1338401997959284</v>
          </cell>
          <cell r="I54">
            <v>1.0473244602077789</v>
          </cell>
          <cell r="J54">
            <v>0.61851574254829178</v>
          </cell>
          <cell r="K54">
            <v>-1.091845848998944</v>
          </cell>
          <cell r="L54" t="str">
            <v>NoTest</v>
          </cell>
          <cell r="M54">
            <v>0.91861963670300817</v>
          </cell>
          <cell r="N54" t="str">
            <v>NoTest</v>
          </cell>
          <cell r="O54" t="str">
            <v>NoTest</v>
          </cell>
          <cell r="P54" t="str">
            <v>NoTest</v>
          </cell>
        </row>
        <row r="55">
          <cell r="A55" t="str">
            <v>MAX KAUFMAN</v>
          </cell>
          <cell r="B55">
            <v>1.1256183220865379</v>
          </cell>
          <cell r="C55" t="str">
            <v>NoTest</v>
          </cell>
          <cell r="D55" t="str">
            <v>NoTest</v>
          </cell>
          <cell r="E55">
            <v>0.39239815409443174</v>
          </cell>
          <cell r="F55" t="str">
            <v>NoTest</v>
          </cell>
          <cell r="G55">
            <v>0.8574929257125441</v>
          </cell>
          <cell r="H55">
            <v>1.3904378076089625</v>
          </cell>
          <cell r="I55">
            <v>1.6072801122000515</v>
          </cell>
          <cell r="J55" t="str">
            <v>NoTest</v>
          </cell>
          <cell r="K55">
            <v>0.37649856862032482</v>
          </cell>
          <cell r="L55" t="str">
            <v>NoTest</v>
          </cell>
          <cell r="M55">
            <v>-0.84920625579458153</v>
          </cell>
          <cell r="N55" t="str">
            <v>NoTest</v>
          </cell>
          <cell r="O55" t="str">
            <v>NoTest</v>
          </cell>
          <cell r="P55" t="str">
            <v>NoTest</v>
          </cell>
        </row>
        <row r="56">
          <cell r="A56" t="str">
            <v>BRIAN KELLY</v>
          </cell>
          <cell r="B56">
            <v>-0.70147228767711733</v>
          </cell>
          <cell r="C56" t="str">
            <v>NoTest</v>
          </cell>
          <cell r="D56">
            <v>0.12235091838077101</v>
          </cell>
          <cell r="E56">
            <v>0.33634127493808436</v>
          </cell>
          <cell r="F56">
            <v>-0.10756759179513921</v>
          </cell>
          <cell r="G56">
            <v>-0.17149858514250882</v>
          </cell>
          <cell r="H56" t="str">
            <v>NoTest</v>
          </cell>
          <cell r="I56" t="str">
            <v>NoTest</v>
          </cell>
          <cell r="J56">
            <v>-0.81583364814651049</v>
          </cell>
          <cell r="K56">
            <v>0.15059942744812993</v>
          </cell>
          <cell r="L56" t="str">
            <v>NoTest</v>
          </cell>
          <cell r="M56">
            <v>-1.3011316719217847</v>
          </cell>
          <cell r="N56" t="str">
            <v>NoTest</v>
          </cell>
          <cell r="O56" t="str">
            <v>NoTest</v>
          </cell>
          <cell r="P56" t="str">
            <v>NoTest</v>
          </cell>
        </row>
        <row r="57">
          <cell r="A57" t="str">
            <v>STEFANOS LEKKAS</v>
          </cell>
          <cell r="B57">
            <v>-0.85372983849075523</v>
          </cell>
          <cell r="C57" t="str">
            <v>NoTest</v>
          </cell>
          <cell r="D57">
            <v>0.12235091838077101</v>
          </cell>
          <cell r="E57">
            <v>-0.61662567071982133</v>
          </cell>
          <cell r="F57">
            <v>-1.0128394039324491</v>
          </cell>
          <cell r="G57">
            <v>-1.2004900959975617</v>
          </cell>
          <cell r="H57">
            <v>-1.0256199669986898</v>
          </cell>
          <cell r="I57">
            <v>-1.8924427127516499</v>
          </cell>
          <cell r="J57">
            <v>-0.50847306442620155</v>
          </cell>
          <cell r="K57">
            <v>-0.6400475666545542</v>
          </cell>
          <cell r="L57" t="str">
            <v>NoTest</v>
          </cell>
          <cell r="M57">
            <v>0.91861963670300817</v>
          </cell>
          <cell r="N57" t="str">
            <v>NoTest</v>
          </cell>
          <cell r="O57" t="str">
            <v>NoTest</v>
          </cell>
          <cell r="P57" t="str">
            <v>NoTest</v>
          </cell>
        </row>
        <row r="58">
          <cell r="A58" t="str">
            <v>WILLIAM LEMAY</v>
          </cell>
          <cell r="B58">
            <v>-0.85372983849075523</v>
          </cell>
          <cell r="C58" t="str">
            <v>NoTest</v>
          </cell>
          <cell r="D58">
            <v>-1.5617734875663101</v>
          </cell>
          <cell r="E58">
            <v>-1.4574788580650322</v>
          </cell>
          <cell r="F58">
            <v>1.2104016641106512</v>
          </cell>
          <cell r="G58">
            <v>2.2294816068526147</v>
          </cell>
          <cell r="H58">
            <v>1.5762884056557049</v>
          </cell>
          <cell r="I58">
            <v>1.3273022862039152</v>
          </cell>
          <cell r="J58">
            <v>0.82342279836184018</v>
          </cell>
          <cell r="K58">
            <v>0.15059942744812993</v>
          </cell>
          <cell r="L58" t="str">
            <v>NoTest</v>
          </cell>
          <cell r="M58">
            <v>2.806072845234283E-2</v>
          </cell>
          <cell r="N58" t="str">
            <v>NoTest</v>
          </cell>
          <cell r="O58" t="str">
            <v>NoTest</v>
          </cell>
          <cell r="P58" t="str">
            <v>NoTest</v>
          </cell>
        </row>
        <row r="59">
          <cell r="A59" t="str">
            <v>DEREK LODERMEIER</v>
          </cell>
          <cell r="B59">
            <v>1.1256183220865379</v>
          </cell>
          <cell r="C59" t="str">
            <v>NoTest</v>
          </cell>
          <cell r="D59">
            <v>1.1702505487478438</v>
          </cell>
          <cell r="E59">
            <v>1.4014219789086848</v>
          </cell>
          <cell r="F59">
            <v>-0.64673683284750705</v>
          </cell>
          <cell r="G59">
            <v>-0.8574929257125441</v>
          </cell>
          <cell r="H59">
            <v>-0.46806817285846242</v>
          </cell>
          <cell r="I59">
            <v>-0.49255358277096811</v>
          </cell>
          <cell r="J59">
            <v>-0.81583364814651049</v>
          </cell>
          <cell r="K59">
            <v>-1.091845848998944</v>
          </cell>
          <cell r="L59" t="str">
            <v>NoTest</v>
          </cell>
          <cell r="M59">
            <v>-1.3011316719217847</v>
          </cell>
          <cell r="N59" t="str">
            <v>NoTest</v>
          </cell>
          <cell r="O59" t="str">
            <v>NoTest</v>
          </cell>
          <cell r="P59" t="str">
            <v>NoTest</v>
          </cell>
        </row>
        <row r="60">
          <cell r="A60" t="str">
            <v>CARTER LONG</v>
          </cell>
          <cell r="B60">
            <v>1.1256183220865379</v>
          </cell>
          <cell r="C60" t="str">
            <v>NoTest</v>
          </cell>
          <cell r="D60">
            <v>0.87085065435725151</v>
          </cell>
          <cell r="E60">
            <v>1.4014219789086848</v>
          </cell>
          <cell r="F60">
            <v>1.7895093674631959</v>
          </cell>
          <cell r="G60">
            <v>-0.17149858514250882</v>
          </cell>
          <cell r="H60">
            <v>-0.46806817285846242</v>
          </cell>
          <cell r="I60">
            <v>-0.21257575677483173</v>
          </cell>
          <cell r="J60">
            <v>2.360225716963412</v>
          </cell>
          <cell r="K60">
            <v>-1.091845848998944</v>
          </cell>
          <cell r="L60" t="str">
            <v>NoTest</v>
          </cell>
          <cell r="M60">
            <v>1.8091785449536737</v>
          </cell>
          <cell r="N60" t="str">
            <v>NoTest</v>
          </cell>
          <cell r="O60" t="str">
            <v>NoTest</v>
          </cell>
          <cell r="P60" t="str">
            <v>NoTest</v>
          </cell>
        </row>
        <row r="61">
          <cell r="A61" t="str">
            <v>ANDREW LUCAS</v>
          </cell>
          <cell r="B61">
            <v>-1.158244940118031</v>
          </cell>
          <cell r="C61" t="str">
            <v>NoTest</v>
          </cell>
          <cell r="D61">
            <v>-1.6366234611639583</v>
          </cell>
          <cell r="E61">
            <v>-1.4574788580650322</v>
          </cell>
          <cell r="F61">
            <v>0.51813498424094373</v>
          </cell>
          <cell r="G61">
            <v>-0.17149858514250882</v>
          </cell>
          <cell r="H61">
            <v>0.6470354154219925</v>
          </cell>
          <cell r="I61">
            <v>0.20739098221936972</v>
          </cell>
          <cell r="J61">
            <v>-9.8658952799113867E-2</v>
          </cell>
          <cell r="K61">
            <v>0.37649856862032482</v>
          </cell>
          <cell r="L61" t="str">
            <v>NoTest</v>
          </cell>
          <cell r="M61">
            <v>-1.7397651640452469</v>
          </cell>
          <cell r="N61" t="str">
            <v>NoTest</v>
          </cell>
          <cell r="O61" t="str">
            <v>NoTest</v>
          </cell>
          <cell r="P61" t="str">
            <v>NoTest</v>
          </cell>
        </row>
        <row r="62">
          <cell r="A62" t="str">
            <v>RILEY MCCUTCHEON</v>
          </cell>
          <cell r="B62">
            <v>-1.6150175925589449</v>
          </cell>
          <cell r="C62" t="str">
            <v>NoTest</v>
          </cell>
          <cell r="D62">
            <v>-1.7114734347616063</v>
          </cell>
          <cell r="E62">
            <v>-1.6817063746904217</v>
          </cell>
          <cell r="F62">
            <v>1.2703093575609141</v>
          </cell>
          <cell r="G62">
            <v>-0.17149858514250882</v>
          </cell>
          <cell r="H62">
            <v>-0.46806817285846242</v>
          </cell>
          <cell r="I62">
            <v>-0.49255358277096811</v>
          </cell>
          <cell r="J62">
            <v>-0.50847306442620155</v>
          </cell>
          <cell r="K62">
            <v>-0.97889627841284865</v>
          </cell>
          <cell r="L62" t="str">
            <v>NoTest</v>
          </cell>
          <cell r="M62">
            <v>-1.0751689638581832</v>
          </cell>
          <cell r="N62" t="str">
            <v>NoTest</v>
          </cell>
          <cell r="O62" t="str">
            <v>NoTest</v>
          </cell>
          <cell r="P62" t="str">
            <v>NoTest</v>
          </cell>
        </row>
        <row r="63">
          <cell r="A63" t="str">
            <v>BRYCE MISLEY</v>
          </cell>
          <cell r="B63">
            <v>0.82110322045926187</v>
          </cell>
          <cell r="C63" t="str">
            <v>NoTest</v>
          </cell>
          <cell r="D63">
            <v>0.49660078636901128</v>
          </cell>
          <cell r="E63">
            <v>0.44845503325077912</v>
          </cell>
          <cell r="F63">
            <v>-0.42041887981317949</v>
          </cell>
          <cell r="G63">
            <v>-1.2004900959975617</v>
          </cell>
          <cell r="H63">
            <v>-0.83976936895194743</v>
          </cell>
          <cell r="I63">
            <v>-0.77253140876710447</v>
          </cell>
          <cell r="J63">
            <v>-0.30356600861265315</v>
          </cell>
          <cell r="K63">
            <v>0.60239770979252372</v>
          </cell>
          <cell r="L63" t="str">
            <v>NoTest</v>
          </cell>
          <cell r="M63">
            <v>1.3572531288264704</v>
          </cell>
          <cell r="N63" t="str">
            <v>NoTest</v>
          </cell>
          <cell r="O63" t="str">
            <v>NoTest</v>
          </cell>
          <cell r="P63" t="str">
            <v>NoTest</v>
          </cell>
        </row>
        <row r="64">
          <cell r="A64" t="str">
            <v>COREY MORIARTY</v>
          </cell>
          <cell r="B64">
            <v>1.8869060761547274</v>
          </cell>
          <cell r="C64" t="str">
            <v>NoTest</v>
          </cell>
          <cell r="D64">
            <v>0.7211507071619554</v>
          </cell>
          <cell r="E64">
            <v>0.50451191240712656</v>
          </cell>
          <cell r="F64">
            <v>1.1970888433439262</v>
          </cell>
          <cell r="G64">
            <v>2.2294816068526147</v>
          </cell>
          <cell r="H64">
            <v>0.6470354154219925</v>
          </cell>
          <cell r="I64">
            <v>0.20739098221936972</v>
          </cell>
          <cell r="J64">
            <v>-0.50847306442620155</v>
          </cell>
          <cell r="K64">
            <v>0.15059942744812993</v>
          </cell>
          <cell r="L64" t="str">
            <v>NoTest</v>
          </cell>
          <cell r="M64">
            <v>2.806072845234283E-2</v>
          </cell>
          <cell r="N64" t="str">
            <v>NoTest</v>
          </cell>
          <cell r="O64" t="str">
            <v>NoTest</v>
          </cell>
          <cell r="P64" t="str">
            <v>NoTest</v>
          </cell>
        </row>
        <row r="65">
          <cell r="A65" t="str">
            <v>MATT O'DONNELL</v>
          </cell>
          <cell r="B65">
            <v>0.51658811883198608</v>
          </cell>
          <cell r="C65" t="str">
            <v>NoTest</v>
          </cell>
          <cell r="D65">
            <v>0.45917579957018723</v>
          </cell>
          <cell r="E65">
            <v>0.39239815409443174</v>
          </cell>
          <cell r="F65" t="str">
            <v>NoTest</v>
          </cell>
          <cell r="G65" t="str">
            <v>NoTest</v>
          </cell>
          <cell r="H65">
            <v>-1.9548729572324024</v>
          </cell>
          <cell r="I65">
            <v>-1.1924981477613059</v>
          </cell>
          <cell r="J65">
            <v>-0.4060195365194228</v>
          </cell>
          <cell r="K65">
            <v>3.7649856862034488E-2</v>
          </cell>
          <cell r="L65" t="str">
            <v>NoTest</v>
          </cell>
          <cell r="M65">
            <v>-0.18461005560751778</v>
          </cell>
          <cell r="N65" t="str">
            <v>NoTest</v>
          </cell>
          <cell r="O65" t="str">
            <v>NoTest</v>
          </cell>
          <cell r="P65" t="str">
            <v>NoTest</v>
          </cell>
        </row>
        <row r="66">
          <cell r="A66" t="str">
            <v>ANDREW PETRILLO</v>
          </cell>
          <cell r="B66">
            <v>1.1256183220865379</v>
          </cell>
          <cell r="C66" t="str">
            <v>NoTest</v>
          </cell>
          <cell r="D66">
            <v>0.7211507071619554</v>
          </cell>
          <cell r="E66">
            <v>1.1211375831269479</v>
          </cell>
          <cell r="F66">
            <v>0.59135549845793178</v>
          </cell>
          <cell r="G66">
            <v>0.51449575542752646</v>
          </cell>
          <cell r="H66">
            <v>0.46118481737525002</v>
          </cell>
          <cell r="I66">
            <v>0.90733554720971377</v>
          </cell>
          <cell r="J66">
            <v>1.3356904378956975</v>
          </cell>
          <cell r="K66">
            <v>0.37649856862032482</v>
          </cell>
          <cell r="L66" t="str">
            <v>NoTest</v>
          </cell>
          <cell r="M66">
            <v>0.25402343651594445</v>
          </cell>
          <cell r="N66" t="str">
            <v>NoTest</v>
          </cell>
          <cell r="O66" t="str">
            <v>NoTest</v>
          </cell>
          <cell r="P66" t="str">
            <v>NoTest</v>
          </cell>
        </row>
        <row r="67">
          <cell r="A67" t="str">
            <v>WHIM STALBERG</v>
          </cell>
          <cell r="B67">
            <v>-2.0717902449998586</v>
          </cell>
          <cell r="C67" t="str">
            <v>NoTest</v>
          </cell>
          <cell r="D67">
            <v>-1.9360233555545503</v>
          </cell>
          <cell r="E67">
            <v>-1.6817063746904217</v>
          </cell>
          <cell r="F67" t="str">
            <v>NoTest</v>
          </cell>
          <cell r="G67" t="str">
            <v>NoTest</v>
          </cell>
          <cell r="H67">
            <v>0.6470354154219925</v>
          </cell>
          <cell r="I67">
            <v>0.4873688082155061</v>
          </cell>
          <cell r="J67">
            <v>-0.91828717605328924</v>
          </cell>
          <cell r="K67">
            <v>-0.75299713724065365</v>
          </cell>
          <cell r="L67" t="str">
            <v>NoTest</v>
          </cell>
          <cell r="M67">
            <v>-0.18461005560751778</v>
          </cell>
          <cell r="N67" t="str">
            <v>NoTest</v>
          </cell>
          <cell r="O67" t="str">
            <v>NoTest</v>
          </cell>
          <cell r="P67" t="str">
            <v>NoTest</v>
          </cell>
        </row>
        <row r="68">
          <cell r="A68" t="str">
            <v>CORY THOMAS</v>
          </cell>
          <cell r="B68">
            <v>1.1256183220865379</v>
          </cell>
          <cell r="C68" t="str">
            <v>NoTest</v>
          </cell>
          <cell r="D68">
            <v>0.34690083917371517</v>
          </cell>
          <cell r="E68">
            <v>0.78479630818886348</v>
          </cell>
          <cell r="F68">
            <v>0.19197087545617625</v>
          </cell>
          <cell r="G68">
            <v>0.17149858514250882</v>
          </cell>
          <cell r="H68">
            <v>0.6470354154219925</v>
          </cell>
          <cell r="I68">
            <v>0.90733554720971377</v>
          </cell>
          <cell r="J68">
            <v>0.51606221464152224</v>
          </cell>
          <cell r="K68">
            <v>-0.8659467078267491</v>
          </cell>
          <cell r="L68" t="str">
            <v>NoTest</v>
          </cell>
          <cell r="M68">
            <v>-0.41057276367111939</v>
          </cell>
          <cell r="N68" t="str">
            <v>NoTest</v>
          </cell>
          <cell r="O68" t="str">
            <v>NoTest</v>
          </cell>
          <cell r="P68" t="str">
            <v>NoTest</v>
          </cell>
        </row>
      </sheetData>
      <sheetData sheetId="3">
        <row r="8">
          <cell r="B8" t="str">
            <v>CARTER LONG</v>
          </cell>
        </row>
      </sheetData>
      <sheetData sheetId="4">
        <row r="6">
          <cell r="B6" t="str">
            <v>MATT ALVARO</v>
          </cell>
        </row>
        <row r="7">
          <cell r="B7" t="str">
            <v>MATT BECK</v>
          </cell>
        </row>
        <row r="8">
          <cell r="B8" t="str">
            <v>JACQUES BOUQUOT</v>
          </cell>
        </row>
        <row r="9">
          <cell r="B9" t="str">
            <v>SIMON BOYKO</v>
          </cell>
        </row>
        <row r="10">
          <cell r="B10" t="str">
            <v>JOEY CIPOLLONE</v>
          </cell>
        </row>
        <row r="11">
          <cell r="B11" t="str">
            <v>DALLAS COMEAU</v>
          </cell>
        </row>
        <row r="12">
          <cell r="B12" t="str">
            <v>ACE COWANS</v>
          </cell>
        </row>
        <row r="13">
          <cell r="B13" t="str">
            <v>JOHNNY DEROCHE</v>
          </cell>
        </row>
        <row r="14">
          <cell r="B14" t="str">
            <v>VLAD DZHIOSHVILI</v>
          </cell>
        </row>
        <row r="15">
          <cell r="B15" t="str">
            <v>ALEX ESPOSITO</v>
          </cell>
        </row>
        <row r="16">
          <cell r="B16" t="str">
            <v>CHRISTIAN EVERS</v>
          </cell>
        </row>
        <row r="17">
          <cell r="B17" t="str">
            <v>OWEN GRANT</v>
          </cell>
        </row>
        <row r="18">
          <cell r="B18" t="str">
            <v>NIC HAMRE</v>
          </cell>
        </row>
        <row r="19">
          <cell r="B19" t="str">
            <v>TYLER HARMON</v>
          </cell>
        </row>
        <row r="20">
          <cell r="B20" t="str">
            <v>MAX KAUFMAN</v>
          </cell>
        </row>
        <row r="21">
          <cell r="B21" t="str">
            <v>BRIAN KELLY</v>
          </cell>
        </row>
        <row r="22">
          <cell r="B22" t="str">
            <v>STEFANOS LEKKAS</v>
          </cell>
        </row>
        <row r="23">
          <cell r="B23" t="str">
            <v>WILLIAM LEMAY</v>
          </cell>
        </row>
        <row r="24">
          <cell r="B24" t="str">
            <v>DEREK LODERMEIER</v>
          </cell>
        </row>
        <row r="25">
          <cell r="B25" t="str">
            <v>CARTER LONG</v>
          </cell>
        </row>
        <row r="26">
          <cell r="B26" t="str">
            <v>ANDREW LUCAS</v>
          </cell>
        </row>
        <row r="27">
          <cell r="B27" t="str">
            <v>RILEY MCCUTCHEON</v>
          </cell>
        </row>
        <row r="28">
          <cell r="B28" t="str">
            <v>BRYCE MISLEY</v>
          </cell>
        </row>
        <row r="29">
          <cell r="B29" t="str">
            <v>COREY MORIARTY</v>
          </cell>
        </row>
        <row r="30">
          <cell r="B30" t="str">
            <v>MATT O'DONNELL</v>
          </cell>
        </row>
        <row r="31">
          <cell r="B31" t="str">
            <v>ANDREW PETRILLO</v>
          </cell>
        </row>
        <row r="32">
          <cell r="B32" t="str">
            <v>WHIM STALBERG</v>
          </cell>
        </row>
        <row r="33">
          <cell r="B33" t="str">
            <v>CORY THOMAS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ctures"/>
      <sheetName val=" Test Data"/>
      <sheetName val="Profile"/>
    </sheetNames>
    <sheetDataSet>
      <sheetData sheetId="0"/>
      <sheetData sheetId="1">
        <row r="240">
          <cell r="G240"/>
          <cell r="H240"/>
          <cell r="I240"/>
          <cell r="J240"/>
          <cell r="K240"/>
          <cell r="L240"/>
          <cell r="M240"/>
          <cell r="N240"/>
        </row>
        <row r="241">
          <cell r="A241" t="str">
            <v>WLAX Post Test Z Score2015-2016</v>
          </cell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</row>
        <row r="242">
          <cell r="B242" t="str">
            <v>Class</v>
          </cell>
          <cell r="C242" t="str">
            <v>Position</v>
          </cell>
          <cell r="D242"/>
          <cell r="E242" t="str">
            <v>Height</v>
          </cell>
          <cell r="F242" t="str">
            <v>Weight</v>
          </cell>
          <cell r="G242" t="str">
            <v>30 yd</v>
          </cell>
          <cell r="H242" t="str">
            <v>Vertical</v>
          </cell>
          <cell r="I242" t="str">
            <v>Broad</v>
          </cell>
          <cell r="J242" t="str">
            <v>Squat</v>
          </cell>
          <cell r="K242" t="str">
            <v>Bench</v>
          </cell>
          <cell r="L242" t="str">
            <v>Yo-Yo</v>
          </cell>
          <cell r="M242" t="str">
            <v>ManU</v>
          </cell>
          <cell r="N242" t="str">
            <v>300's</v>
          </cell>
        </row>
        <row r="243">
          <cell r="A243" t="str">
            <v>Jenny Caoili</v>
          </cell>
          <cell r="B243" t="str">
            <v>Freshman</v>
          </cell>
          <cell r="C243" t="str">
            <v>Attack</v>
          </cell>
          <cell r="D243" t="str">
            <v>Pre</v>
          </cell>
          <cell r="E243"/>
          <cell r="F243"/>
          <cell r="G243"/>
          <cell r="H243">
            <v>-1.1072249770938722</v>
          </cell>
          <cell r="I243">
            <v>-0.39759456423737316</v>
          </cell>
          <cell r="J243">
            <v>0.2629249717720949</v>
          </cell>
          <cell r="K243">
            <v>0.50235140358597641</v>
          </cell>
          <cell r="L243">
            <v>0.17424730185729759</v>
          </cell>
          <cell r="M243">
            <v>0.23964489968570793</v>
          </cell>
          <cell r="N243">
            <v>0.35889383316545881</v>
          </cell>
        </row>
        <row r="244">
          <cell r="A244" t="str">
            <v>Marjorie Dehm</v>
          </cell>
          <cell r="B244" t="str">
            <v>Freshman</v>
          </cell>
          <cell r="C244" t="str">
            <v>Attack</v>
          </cell>
          <cell r="D244" t="str">
            <v>Pre</v>
          </cell>
          <cell r="E244"/>
          <cell r="F244"/>
          <cell r="G244"/>
          <cell r="H244">
            <v>-9.1681049058727135E-2</v>
          </cell>
          <cell r="I244">
            <v>-0.48677465341211085</v>
          </cell>
          <cell r="J244">
            <v>-0.37835544718423503</v>
          </cell>
          <cell r="K244">
            <v>-0.13477720584013986</v>
          </cell>
          <cell r="L244">
            <v>6.7018193022059282E-3</v>
          </cell>
          <cell r="M244">
            <v>1.0612845557509922</v>
          </cell>
          <cell r="N244">
            <v>1.9032248728470459E-2</v>
          </cell>
        </row>
        <row r="245">
          <cell r="A245" t="str">
            <v>Maya Ebrahimnejad</v>
          </cell>
          <cell r="B245" t="str">
            <v>Freshman</v>
          </cell>
          <cell r="C245" t="str">
            <v>Midfield</v>
          </cell>
          <cell r="D245" t="str">
            <v>Pre</v>
          </cell>
          <cell r="E245"/>
          <cell r="F245"/>
          <cell r="G245"/>
          <cell r="H245">
            <v>1.3187966287678627</v>
          </cell>
          <cell r="I245">
            <v>0.94010677338369253</v>
          </cell>
          <cell r="J245">
            <v>0.10260486703301243</v>
          </cell>
          <cell r="K245">
            <v>0.50235140358597641</v>
          </cell>
          <cell r="L245">
            <v>0.17424730185729759</v>
          </cell>
          <cell r="M245">
            <v>0.51352478504080268</v>
          </cell>
          <cell r="N245">
            <v>0.35889383316545881</v>
          </cell>
        </row>
        <row r="246">
          <cell r="A246" t="str">
            <v>Sarah Fisher</v>
          </cell>
          <cell r="B246" t="str">
            <v>Freshman</v>
          </cell>
          <cell r="C246" t="str">
            <v>Attack</v>
          </cell>
          <cell r="D246" t="str">
            <v>Pre</v>
          </cell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</row>
        <row r="247">
          <cell r="A247" t="str">
            <v>Catherine Green</v>
          </cell>
          <cell r="B247" t="str">
            <v>Freshman</v>
          </cell>
          <cell r="C247" t="str">
            <v>Goalie</v>
          </cell>
          <cell r="D247" t="str">
            <v>Pre</v>
          </cell>
          <cell r="E247"/>
          <cell r="F247"/>
          <cell r="G247"/>
          <cell r="H247">
            <v>-1.6149969411114438</v>
          </cell>
          <cell r="I247">
            <v>-1.0218551884605371</v>
          </cell>
          <cell r="J247">
            <v>0.2629249717720949</v>
          </cell>
          <cell r="K247">
            <v>0.8209157082990346</v>
          </cell>
          <cell r="L247">
            <v>-0.16084366325288574</v>
          </cell>
          <cell r="M247">
            <v>0.23964489968570793</v>
          </cell>
          <cell r="N247">
            <v>-0.42278781103961344</v>
          </cell>
        </row>
        <row r="248">
          <cell r="A248" t="str">
            <v>Avery Hogarth</v>
          </cell>
          <cell r="B248" t="str">
            <v>Freshman</v>
          </cell>
          <cell r="C248" t="str">
            <v>Defense</v>
          </cell>
          <cell r="D248" t="str">
            <v>Pre</v>
          </cell>
          <cell r="E248"/>
          <cell r="F248"/>
          <cell r="G248"/>
          <cell r="H248">
            <v>-3.5261941945662741E-2</v>
          </cell>
          <cell r="I248">
            <v>1.2076470409079056</v>
          </cell>
          <cell r="J248">
            <v>0.2629249717720949</v>
          </cell>
          <cell r="K248">
            <v>0.8209157082990346</v>
          </cell>
          <cell r="L248">
            <v>0.34179278441238925</v>
          </cell>
          <cell r="M248">
            <v>-4.1424332659958081</v>
          </cell>
          <cell r="N248">
            <v>0.5967969422713516</v>
          </cell>
        </row>
        <row r="249">
          <cell r="A249" t="str">
            <v>Jenna Janes</v>
          </cell>
          <cell r="B249" t="str">
            <v>Freshman</v>
          </cell>
          <cell r="C249" t="str">
            <v>Attack</v>
          </cell>
          <cell r="D249" t="str">
            <v>Pre</v>
          </cell>
          <cell r="E249"/>
          <cell r="F249"/>
          <cell r="G249"/>
          <cell r="H249">
            <v>-0.88154854864161658</v>
          </cell>
          <cell r="I249">
            <v>-0.39759456423737316</v>
          </cell>
          <cell r="J249">
            <v>0.74388528598934234</v>
          </cell>
          <cell r="K249">
            <v>-0.13477720584013986</v>
          </cell>
          <cell r="L249">
            <v>0.50933826696748385</v>
          </cell>
          <cell r="M249">
            <v>-0.3081148710244816</v>
          </cell>
          <cell r="N249">
            <v>0.35889383316545881</v>
          </cell>
        </row>
        <row r="250">
          <cell r="A250" t="str">
            <v>Maddy Kuras</v>
          </cell>
          <cell r="B250" t="str">
            <v>Freshman</v>
          </cell>
          <cell r="C250" t="str">
            <v>Goalie</v>
          </cell>
          <cell r="D250" t="str">
            <v>Pre</v>
          </cell>
          <cell r="E250"/>
          <cell r="F250"/>
          <cell r="G250"/>
          <cell r="H250">
            <v>-0.20451926328485392</v>
          </cell>
          <cell r="I250">
            <v>4.8305881636315412E-2</v>
          </cell>
          <cell r="J250">
            <v>-0.85931576140148247</v>
          </cell>
          <cell r="K250">
            <v>-1.4090344246923725</v>
          </cell>
          <cell r="L250">
            <v>-0.49593462836307206</v>
          </cell>
          <cell r="M250">
            <v>-0.58199475637957643</v>
          </cell>
          <cell r="N250">
            <v>-0.55873244481441076</v>
          </cell>
        </row>
        <row r="251">
          <cell r="A251" t="str">
            <v>Micaela O'Mara</v>
          </cell>
          <cell r="B251" t="str">
            <v>Freshman</v>
          </cell>
          <cell r="C251" t="str">
            <v>Defense</v>
          </cell>
          <cell r="D251" t="str">
            <v>Pre</v>
          </cell>
          <cell r="E251"/>
          <cell r="F251"/>
          <cell r="G251"/>
          <cell r="H251">
            <v>0.41609091495884437</v>
          </cell>
          <cell r="I251">
            <v>0.67256650585947941</v>
          </cell>
          <cell r="J251">
            <v>0.58356518125025991</v>
          </cell>
          <cell r="K251">
            <v>-0.45334151055319799</v>
          </cell>
          <cell r="L251">
            <v>6.7018193022059282E-3</v>
          </cell>
          <cell r="M251">
            <v>0.23964489968570793</v>
          </cell>
          <cell r="N251">
            <v>0.25693535783436328</v>
          </cell>
        </row>
        <row r="252">
          <cell r="A252" t="str">
            <v>Katie Remien</v>
          </cell>
          <cell r="B252" t="str">
            <v>Freshman</v>
          </cell>
          <cell r="C252" t="str">
            <v>Defense</v>
          </cell>
          <cell r="D252" t="str">
            <v>Pre</v>
          </cell>
          <cell r="E252"/>
          <cell r="F252"/>
          <cell r="G252"/>
          <cell r="H252">
            <v>-0.59945301307629861</v>
          </cell>
          <cell r="I252">
            <v>0.94010677338369253</v>
          </cell>
          <cell r="J252">
            <v>0.90420539072842487</v>
          </cell>
          <cell r="K252">
            <v>0.8209157082990346</v>
          </cell>
          <cell r="L252">
            <v>-0.3283891458079774</v>
          </cell>
          <cell r="M252">
            <v>0.23964489968570793</v>
          </cell>
          <cell r="N252">
            <v>-0.21887086037742237</v>
          </cell>
        </row>
        <row r="253">
          <cell r="A253" t="str">
            <v>Missy Riccio</v>
          </cell>
          <cell r="B253" t="str">
            <v>Freshman</v>
          </cell>
          <cell r="C253" t="str">
            <v>Midfield</v>
          </cell>
          <cell r="D253" t="str">
            <v>Pre</v>
          </cell>
          <cell r="E253"/>
          <cell r="F253"/>
          <cell r="G253"/>
          <cell r="H253">
            <v>-0.37377658462404512</v>
          </cell>
          <cell r="I253">
            <v>-0.2192343858878977</v>
          </cell>
          <cell r="J253">
            <v>0.10260486703301243</v>
          </cell>
          <cell r="K253">
            <v>0.50235140358597641</v>
          </cell>
          <cell r="L253">
            <v>-1.3336620411385334</v>
          </cell>
          <cell r="M253">
            <v>-0.58199475637957643</v>
          </cell>
          <cell r="N253">
            <v>-0.66069092014550623</v>
          </cell>
        </row>
        <row r="254">
          <cell r="A254" t="str">
            <v>Ava Schwemler</v>
          </cell>
          <cell r="B254" t="str">
            <v>Freshman</v>
          </cell>
          <cell r="C254" t="str">
            <v>MIdfield</v>
          </cell>
          <cell r="D254" t="str">
            <v>Pre</v>
          </cell>
          <cell r="E254"/>
          <cell r="F254"/>
          <cell r="G254"/>
          <cell r="H254">
            <v>-0.26093837039791828</v>
          </cell>
          <cell r="I254">
            <v>0.13748597081105313</v>
          </cell>
          <cell r="J254">
            <v>-0.53867555192331751</v>
          </cell>
          <cell r="K254">
            <v>-1.4090344246923725</v>
          </cell>
          <cell r="L254">
            <v>-0.16084366325288574</v>
          </cell>
          <cell r="M254">
            <v>-0.8558746417346712</v>
          </cell>
          <cell r="N254">
            <v>-0.3208293357085179</v>
          </cell>
        </row>
        <row r="255">
          <cell r="A255" t="str">
            <v>Alex Vignona</v>
          </cell>
          <cell r="B255" t="str">
            <v>Freshman</v>
          </cell>
          <cell r="C255" t="str">
            <v>Attack</v>
          </cell>
          <cell r="D255" t="str">
            <v>Pre</v>
          </cell>
          <cell r="E255"/>
          <cell r="F255"/>
          <cell r="G255"/>
          <cell r="H255">
            <v>-0.82512944152855416</v>
          </cell>
          <cell r="I255">
            <v>-0.75431492093632402</v>
          </cell>
          <cell r="J255">
            <v>-0.85931576140148247</v>
          </cell>
          <cell r="K255">
            <v>-0.77190581526625612</v>
          </cell>
          <cell r="L255">
            <v>-1.6687530062487166</v>
          </cell>
          <cell r="M255">
            <v>-0.58199475637957643</v>
          </cell>
          <cell r="N255">
            <v>-0.42278781103961344</v>
          </cell>
        </row>
        <row r="256">
          <cell r="A256" t="str">
            <v>Kim Arkell</v>
          </cell>
          <cell r="B256" t="str">
            <v>Sophomore</v>
          </cell>
          <cell r="C256" t="str">
            <v>Defense</v>
          </cell>
          <cell r="D256" t="str">
            <v>Pre</v>
          </cell>
          <cell r="E256"/>
          <cell r="F256"/>
          <cell r="G256"/>
          <cell r="H256">
            <v>1.5444730572201162</v>
          </cell>
          <cell r="I256">
            <v>-1.1110352776352748</v>
          </cell>
          <cell r="J256">
            <v>-1.0196358661405649</v>
          </cell>
          <cell r="K256">
            <v>-1.0904701199793143</v>
          </cell>
          <cell r="L256">
            <v>-1.5012075236936251</v>
          </cell>
          <cell r="M256">
            <v>-2.2252740685101449</v>
          </cell>
          <cell r="N256">
            <v>-2.3599988423304481</v>
          </cell>
        </row>
        <row r="257">
          <cell r="A257" t="str">
            <v>Courtney Cole</v>
          </cell>
          <cell r="B257" t="str">
            <v>Sophomore</v>
          </cell>
          <cell r="C257" t="str">
            <v>Midfield</v>
          </cell>
          <cell r="D257" t="str">
            <v>Pre</v>
          </cell>
          <cell r="E257"/>
          <cell r="F257"/>
          <cell r="G257"/>
          <cell r="H257">
            <v>1.0367010932025447</v>
          </cell>
          <cell r="I257">
            <v>0.67256650585947941</v>
          </cell>
          <cell r="J257">
            <v>-0.21803534244515255</v>
          </cell>
          <cell r="K257">
            <v>0.1837870988729183</v>
          </cell>
          <cell r="L257">
            <v>1.5146111622980338</v>
          </cell>
          <cell r="M257">
            <v>1.335164441106087</v>
          </cell>
          <cell r="N257">
            <v>1.140575477370531</v>
          </cell>
        </row>
        <row r="258">
          <cell r="A258" t="str">
            <v>Elena McWright</v>
          </cell>
          <cell r="B258" t="str">
            <v>Sophomore</v>
          </cell>
          <cell r="C258" t="str">
            <v>Midfield</v>
          </cell>
          <cell r="D258" t="str">
            <v>Pre</v>
          </cell>
          <cell r="E258"/>
          <cell r="F258"/>
          <cell r="G258"/>
          <cell r="H258">
            <v>-1.0508058699808078</v>
          </cell>
          <cell r="I258">
            <v>-0.66513483176158628</v>
          </cell>
          <cell r="J258">
            <v>-0.37835544718423503</v>
          </cell>
          <cell r="K258">
            <v>-0.45334151055319799</v>
          </cell>
          <cell r="L258">
            <v>1.5146111622980338</v>
          </cell>
          <cell r="M258">
            <v>0.23964489968570793</v>
          </cell>
          <cell r="N258">
            <v>-0.76264939547660182</v>
          </cell>
        </row>
        <row r="259">
          <cell r="A259" t="str">
            <v>Becca Olsen</v>
          </cell>
          <cell r="B259" t="str">
            <v>Sophomore</v>
          </cell>
          <cell r="C259" t="str">
            <v>Attack</v>
          </cell>
          <cell r="D259" t="str">
            <v>Pre</v>
          </cell>
          <cell r="E259"/>
          <cell r="F259"/>
          <cell r="G259"/>
          <cell r="H259">
            <v>7.7576272280464043E-2</v>
          </cell>
          <cell r="I259">
            <v>4.8305881636315412E-2</v>
          </cell>
          <cell r="J259">
            <v>-5.7715237706070059E-2</v>
          </cell>
          <cell r="K259">
            <v>-1.0904701199793143</v>
          </cell>
          <cell r="L259">
            <v>-0.16084366325288574</v>
          </cell>
          <cell r="M259">
            <v>0.51352478504080268</v>
          </cell>
          <cell r="N259">
            <v>0.25693535783436328</v>
          </cell>
        </row>
        <row r="260">
          <cell r="A260" t="str">
            <v>Bailey Saneman</v>
          </cell>
          <cell r="B260" t="str">
            <v>Sophomore</v>
          </cell>
          <cell r="C260" t="str">
            <v>Attack</v>
          </cell>
          <cell r="D260" t="str">
            <v>Pre</v>
          </cell>
          <cell r="E260"/>
          <cell r="F260"/>
          <cell r="G260"/>
          <cell r="H260">
            <v>0.69818645052416239</v>
          </cell>
          <cell r="I260">
            <v>-0.66513483176158628</v>
          </cell>
          <cell r="J260">
            <v>0.90420539072842487</v>
          </cell>
          <cell r="K260">
            <v>-0.45334151055319799</v>
          </cell>
          <cell r="L260">
            <v>-2.0038439713588998</v>
          </cell>
          <cell r="M260">
            <v>-2.4991539538652399</v>
          </cell>
          <cell r="N260">
            <v>-2.8018189020985322</v>
          </cell>
        </row>
        <row r="261">
          <cell r="A261" t="str">
            <v>Alex Bernier</v>
          </cell>
          <cell r="B261" t="str">
            <v>Junior</v>
          </cell>
          <cell r="C261" t="str">
            <v>Attack</v>
          </cell>
          <cell r="D261" t="str">
            <v>Pre</v>
          </cell>
          <cell r="E261"/>
          <cell r="F261"/>
          <cell r="G261"/>
          <cell r="H261">
            <v>-3.5261941945662741E-2</v>
          </cell>
          <cell r="I261">
            <v>4.8305881636315412E-2</v>
          </cell>
          <cell r="J261">
            <v>-1.9815564945750599</v>
          </cell>
          <cell r="K261">
            <v>0.1837870988729183</v>
          </cell>
          <cell r="L261">
            <v>-0.16084366325288574</v>
          </cell>
          <cell r="M261">
            <v>-0.3081148710244816</v>
          </cell>
          <cell r="N261">
            <v>-8.292622660262508E-2</v>
          </cell>
        </row>
        <row r="262">
          <cell r="A262" t="str">
            <v>Alison Bolt</v>
          </cell>
          <cell r="B262" t="str">
            <v>Junior</v>
          </cell>
          <cell r="C262" t="str">
            <v>Midfield</v>
          </cell>
          <cell r="D262" t="str">
            <v>Pre</v>
          </cell>
          <cell r="E262"/>
          <cell r="F262"/>
          <cell r="G262"/>
          <cell r="H262">
            <v>1.657311271446245</v>
          </cell>
          <cell r="I262">
            <v>0.94010677338369253</v>
          </cell>
          <cell r="J262">
            <v>1.5454858096847548</v>
          </cell>
          <cell r="K262">
            <v>0.1837870988729183</v>
          </cell>
          <cell r="L262">
            <v>1.1795201971878506</v>
          </cell>
          <cell r="M262">
            <v>0.78740467039589745</v>
          </cell>
          <cell r="N262">
            <v>1.2765201111453284</v>
          </cell>
        </row>
        <row r="263">
          <cell r="A263" t="str">
            <v>Meghan Cobb</v>
          </cell>
          <cell r="B263" t="str">
            <v>Junior</v>
          </cell>
          <cell r="C263" t="str">
            <v>Defense</v>
          </cell>
          <cell r="D263" t="str">
            <v>Pre</v>
          </cell>
          <cell r="E263"/>
          <cell r="F263"/>
          <cell r="G263"/>
          <cell r="H263">
            <v>-0.14810015617179154</v>
          </cell>
          <cell r="I263">
            <v>4.8305881636315412E-2</v>
          </cell>
          <cell r="J263">
            <v>0.90420539072842487</v>
          </cell>
          <cell r="K263">
            <v>1.7766086224382089</v>
          </cell>
          <cell r="L263">
            <v>0.50933826696748385</v>
          </cell>
          <cell r="M263">
            <v>0.51352478504080268</v>
          </cell>
          <cell r="N263">
            <v>1.9032248728470459E-2</v>
          </cell>
        </row>
        <row r="264">
          <cell r="A264" t="str">
            <v>Meredith Moore</v>
          </cell>
          <cell r="B264" t="str">
            <v>Junior</v>
          </cell>
          <cell r="C264" t="str">
            <v>Attack</v>
          </cell>
          <cell r="D264" t="str">
            <v>Pre</v>
          </cell>
          <cell r="E264"/>
          <cell r="F264"/>
          <cell r="G264"/>
          <cell r="H264"/>
          <cell r="I264"/>
          <cell r="J264"/>
          <cell r="K264">
            <v>0.1837870988729183</v>
          </cell>
          <cell r="L264">
            <v>-0.3283891458079774</v>
          </cell>
          <cell r="M264">
            <v>-0.58199475637957643</v>
          </cell>
          <cell r="N264">
            <v>0.69875541760244719</v>
          </cell>
        </row>
        <row r="265">
          <cell r="A265" t="str">
            <v>Rachael Smith</v>
          </cell>
          <cell r="B265" t="str">
            <v>Junior</v>
          </cell>
          <cell r="C265" t="str">
            <v>Defense</v>
          </cell>
          <cell r="D265" t="str">
            <v>Pre</v>
          </cell>
          <cell r="E265"/>
          <cell r="F265"/>
          <cell r="G265"/>
          <cell r="H265">
            <v>1.0367010932025447</v>
          </cell>
          <cell r="I265">
            <v>1.8319076651310695</v>
          </cell>
          <cell r="J265">
            <v>-5.7715237706070059E-2</v>
          </cell>
          <cell r="K265">
            <v>1.1394800130120928</v>
          </cell>
          <cell r="L265">
            <v>-0.66348011091816372</v>
          </cell>
          <cell r="M265">
            <v>-0.8558746417346712</v>
          </cell>
          <cell r="N265">
            <v>-0.3208293357085179</v>
          </cell>
        </row>
        <row r="266">
          <cell r="A266" t="str">
            <v>Emma Tizard</v>
          </cell>
          <cell r="B266" t="str">
            <v>Junior</v>
          </cell>
          <cell r="C266" t="str">
            <v>Midfield</v>
          </cell>
          <cell r="D266" t="str">
            <v>Pre</v>
          </cell>
          <cell r="E266"/>
          <cell r="F266"/>
          <cell r="G266"/>
          <cell r="H266">
            <v>-0.37377658462404512</v>
          </cell>
          <cell r="I266">
            <v>-1.1110352776352748</v>
          </cell>
          <cell r="J266">
            <v>-1.34027607561873</v>
          </cell>
          <cell r="K266">
            <v>-1.0904701199793143</v>
          </cell>
          <cell r="L266">
            <v>1.1795201971878506</v>
          </cell>
          <cell r="M266">
            <v>0.78740467039589745</v>
          </cell>
          <cell r="N266">
            <v>1.0386170020394356</v>
          </cell>
        </row>
        <row r="267">
          <cell r="A267" t="str">
            <v>Brynne Yarranton</v>
          </cell>
          <cell r="B267" t="str">
            <v>Junior</v>
          </cell>
          <cell r="C267" t="str">
            <v>Midfield</v>
          </cell>
          <cell r="D267" t="str">
            <v>Pre</v>
          </cell>
          <cell r="E267"/>
          <cell r="F267"/>
          <cell r="G267"/>
          <cell r="H267">
            <v>1.657311271446245</v>
          </cell>
          <cell r="I267">
            <v>1.7427275759563319</v>
          </cell>
          <cell r="J267">
            <v>0.58356518125025991</v>
          </cell>
          <cell r="K267">
            <v>0.1837870988729183</v>
          </cell>
          <cell r="L267">
            <v>-0.16084366325288574</v>
          </cell>
          <cell r="M267">
            <v>1.335164441106087</v>
          </cell>
          <cell r="N267">
            <v>1.2765201111453284</v>
          </cell>
        </row>
        <row r="268">
          <cell r="A268" t="str">
            <v>Margaret Nealon</v>
          </cell>
          <cell r="B268" t="str">
            <v>Senior</v>
          </cell>
          <cell r="C268" t="str">
            <v>Attack</v>
          </cell>
          <cell r="D268" t="str">
            <v>Pre</v>
          </cell>
          <cell r="E268"/>
          <cell r="F268"/>
          <cell r="G268"/>
          <cell r="H268">
            <v>-1.8406733695636983</v>
          </cell>
          <cell r="I268">
            <v>-2.4487366152563403</v>
          </cell>
          <cell r="J268">
            <v>-1.8212363898359774</v>
          </cell>
          <cell r="K268">
            <v>-1.7275987294054307</v>
          </cell>
          <cell r="L268">
            <v>2.0172476099633116</v>
          </cell>
          <cell r="M268">
            <v>1.335164441106087</v>
          </cell>
          <cell r="N268">
            <v>1.2765201111453284</v>
          </cell>
        </row>
        <row r="269">
          <cell r="A269" t="str">
            <v>Vanessa VanderZalm</v>
          </cell>
          <cell r="B269" t="str">
            <v>Senior</v>
          </cell>
          <cell r="C269" t="str">
            <v>Midfield</v>
          </cell>
          <cell r="D269" t="str">
            <v>Pre</v>
          </cell>
          <cell r="E269"/>
          <cell r="F269"/>
          <cell r="G269"/>
          <cell r="H269"/>
          <cell r="I269"/>
          <cell r="J269">
            <v>2.347086333380167</v>
          </cell>
          <cell r="K269">
            <v>2.4137372318643253</v>
          </cell>
          <cell r="L269"/>
          <cell r="M269"/>
          <cell r="N269"/>
        </row>
        <row r="271">
          <cell r="G271"/>
          <cell r="H271" t="str">
            <v>Vertical</v>
          </cell>
          <cell r="I271" t="str">
            <v>Broad</v>
          </cell>
          <cell r="J271" t="str">
            <v>Squat</v>
          </cell>
          <cell r="K271" t="str">
            <v>Bench</v>
          </cell>
          <cell r="L271" t="str">
            <v>Yo-Yo</v>
          </cell>
          <cell r="M271" t="str">
            <v>ManU</v>
          </cell>
          <cell r="N271" t="str">
            <v>300's</v>
          </cell>
        </row>
        <row r="272">
          <cell r="G272" t="str">
            <v>Standard</v>
          </cell>
          <cell r="H272">
            <v>24</v>
          </cell>
          <cell r="I272">
            <v>90</v>
          </cell>
          <cell r="J272">
            <v>225</v>
          </cell>
          <cell r="K272">
            <v>135</v>
          </cell>
          <cell r="L272">
            <v>17.100000000000001</v>
          </cell>
          <cell r="M272">
            <v>20</v>
          </cell>
          <cell r="N272">
            <v>65</v>
          </cell>
        </row>
        <row r="273">
          <cell r="H273">
            <v>3.0113698421597705</v>
          </cell>
          <cell r="I273">
            <v>2.902068735227922</v>
          </cell>
          <cell r="J273">
            <v>1.8661260191629196</v>
          </cell>
          <cell r="K273">
            <v>2.0951729271512671</v>
          </cell>
          <cell r="L273">
            <v>2.6874295401836843</v>
          </cell>
          <cell r="M273">
            <v>1.335164441106087</v>
          </cell>
          <cell r="N273">
            <v>1.0386170020394356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F34" sqref="F34"/>
    </sheetView>
  </sheetViews>
  <sheetFormatPr defaultRowHeight="12.5" x14ac:dyDescent="0.25"/>
  <cols>
    <col min="1" max="1" width="11.453125" customWidth="1"/>
    <col min="4" max="4" width="10.1796875" customWidth="1"/>
    <col min="5" max="5" width="18.7265625" style="6" customWidth="1"/>
    <col min="6" max="6" width="17.54296875" style="6" customWidth="1"/>
    <col min="10" max="11" width="9.1796875" style="6"/>
  </cols>
  <sheetData>
    <row r="1" spans="1:13" s="2" customFormat="1" ht="140.15" customHeight="1" x14ac:dyDescent="0.25">
      <c r="A1" s="3" t="s">
        <v>11</v>
      </c>
      <c r="B1" s="3" t="s">
        <v>12</v>
      </c>
      <c r="C1" s="3" t="s">
        <v>10</v>
      </c>
      <c r="D1" s="2" t="s">
        <v>0</v>
      </c>
      <c r="E1" s="5" t="s">
        <v>13</v>
      </c>
      <c r="F1" s="5" t="s">
        <v>15</v>
      </c>
      <c r="G1" s="2" t="s">
        <v>16</v>
      </c>
      <c r="H1" s="2" t="s">
        <v>17</v>
      </c>
      <c r="I1" s="2" t="s">
        <v>18</v>
      </c>
      <c r="J1" s="5" t="s">
        <v>19</v>
      </c>
      <c r="K1" s="5" t="s">
        <v>20</v>
      </c>
      <c r="L1" s="2" t="s">
        <v>21</v>
      </c>
      <c r="M1" s="2" t="s">
        <v>76</v>
      </c>
    </row>
    <row r="2" spans="1:13" x14ac:dyDescent="0.25">
      <c r="A2" t="s">
        <v>22</v>
      </c>
      <c r="B2" t="s">
        <v>23</v>
      </c>
      <c r="C2">
        <v>37</v>
      </c>
      <c r="D2" s="1">
        <v>34819</v>
      </c>
      <c r="E2" s="6" t="s">
        <v>82</v>
      </c>
      <c r="G2" t="s">
        <v>1</v>
      </c>
      <c r="H2">
        <v>190</v>
      </c>
      <c r="I2" t="s">
        <v>88</v>
      </c>
      <c r="J2" s="6" t="s">
        <v>89</v>
      </c>
      <c r="K2" s="6" t="s">
        <v>104</v>
      </c>
      <c r="L2" t="s">
        <v>130</v>
      </c>
      <c r="M2">
        <v>11111111</v>
      </c>
    </row>
    <row r="3" spans="1:13" x14ac:dyDescent="0.25">
      <c r="A3" t="s">
        <v>24</v>
      </c>
      <c r="B3" t="s">
        <v>25</v>
      </c>
      <c r="C3">
        <v>25</v>
      </c>
      <c r="D3" s="1">
        <v>35253</v>
      </c>
      <c r="E3" s="6" t="s">
        <v>82</v>
      </c>
      <c r="F3" s="6" t="s">
        <v>87</v>
      </c>
      <c r="G3" t="s">
        <v>2</v>
      </c>
      <c r="H3">
        <v>190</v>
      </c>
      <c r="I3" t="s">
        <v>88</v>
      </c>
      <c r="J3" s="6" t="s">
        <v>91</v>
      </c>
      <c r="K3" s="6" t="s">
        <v>105</v>
      </c>
      <c r="L3" t="s">
        <v>131</v>
      </c>
      <c r="M3">
        <v>11111111</v>
      </c>
    </row>
    <row r="4" spans="1:13" x14ac:dyDescent="0.25">
      <c r="A4" t="s">
        <v>26</v>
      </c>
      <c r="B4" t="s">
        <v>25</v>
      </c>
      <c r="C4">
        <v>30</v>
      </c>
      <c r="D4" s="1">
        <v>35343</v>
      </c>
      <c r="E4" s="6" t="s">
        <v>82</v>
      </c>
      <c r="F4" s="6" t="s">
        <v>84</v>
      </c>
      <c r="G4" t="s">
        <v>3</v>
      </c>
      <c r="H4">
        <v>185</v>
      </c>
      <c r="I4" t="s">
        <v>92</v>
      </c>
      <c r="J4" s="6" t="s">
        <v>91</v>
      </c>
      <c r="K4" s="6" t="s">
        <v>106</v>
      </c>
      <c r="L4" t="s">
        <v>132</v>
      </c>
      <c r="M4">
        <v>11111111</v>
      </c>
    </row>
    <row r="5" spans="1:13" x14ac:dyDescent="0.25">
      <c r="A5" t="s">
        <v>77</v>
      </c>
      <c r="B5" t="s">
        <v>23</v>
      </c>
      <c r="C5">
        <v>26</v>
      </c>
      <c r="D5" s="1">
        <v>34797</v>
      </c>
      <c r="E5" s="6" t="s">
        <v>82</v>
      </c>
      <c r="F5" s="6" t="s">
        <v>87</v>
      </c>
      <c r="G5" t="s">
        <v>8</v>
      </c>
      <c r="H5">
        <v>210</v>
      </c>
      <c r="I5" t="s">
        <v>88</v>
      </c>
      <c r="J5" s="6" t="s">
        <v>89</v>
      </c>
      <c r="K5" s="6" t="s">
        <v>90</v>
      </c>
      <c r="L5" t="s">
        <v>133</v>
      </c>
      <c r="M5">
        <v>11111111</v>
      </c>
    </row>
    <row r="6" spans="1:13" x14ac:dyDescent="0.25">
      <c r="A6" t="s">
        <v>78</v>
      </c>
      <c r="B6" t="s">
        <v>79</v>
      </c>
      <c r="C6">
        <v>17</v>
      </c>
      <c r="D6" s="1">
        <v>36566</v>
      </c>
      <c r="E6" s="6" t="s">
        <v>82</v>
      </c>
      <c r="F6" s="6" t="s">
        <v>86</v>
      </c>
      <c r="G6" t="s">
        <v>1</v>
      </c>
      <c r="H6">
        <v>180</v>
      </c>
      <c r="I6" t="s">
        <v>88</v>
      </c>
      <c r="J6" s="6" t="s">
        <v>91</v>
      </c>
      <c r="K6" s="6" t="s">
        <v>94</v>
      </c>
      <c r="L6" t="s">
        <v>134</v>
      </c>
      <c r="M6">
        <v>11111111</v>
      </c>
    </row>
    <row r="7" spans="1:13" x14ac:dyDescent="0.25">
      <c r="A7" t="s">
        <v>80</v>
      </c>
      <c r="B7" t="s">
        <v>81</v>
      </c>
      <c r="C7">
        <v>7</v>
      </c>
      <c r="D7" s="1">
        <v>36195</v>
      </c>
      <c r="E7" s="6" t="s">
        <v>82</v>
      </c>
      <c r="F7" s="6" t="s">
        <v>86</v>
      </c>
      <c r="G7" t="s">
        <v>3</v>
      </c>
      <c r="H7">
        <v>175</v>
      </c>
      <c r="I7" t="s">
        <v>88</v>
      </c>
      <c r="J7" s="6" t="s">
        <v>89</v>
      </c>
      <c r="K7" s="6" t="s">
        <v>95</v>
      </c>
      <c r="L7" t="s">
        <v>135</v>
      </c>
      <c r="M7">
        <v>11111111</v>
      </c>
    </row>
    <row r="8" spans="1:13" x14ac:dyDescent="0.25">
      <c r="A8" t="s">
        <v>27</v>
      </c>
      <c r="B8" t="s">
        <v>28</v>
      </c>
      <c r="C8">
        <v>13</v>
      </c>
      <c r="D8" s="1">
        <v>36353</v>
      </c>
      <c r="E8" s="6" t="s">
        <v>82</v>
      </c>
      <c r="F8" s="6" t="s">
        <v>85</v>
      </c>
      <c r="G8" t="s">
        <v>4</v>
      </c>
      <c r="H8">
        <v>185</v>
      </c>
      <c r="I8" t="s">
        <v>88</v>
      </c>
      <c r="J8" s="6" t="s">
        <v>89</v>
      </c>
      <c r="K8" s="6" t="s">
        <v>107</v>
      </c>
      <c r="L8" t="s">
        <v>136</v>
      </c>
      <c r="M8">
        <v>11111111</v>
      </c>
    </row>
    <row r="9" spans="1:13" x14ac:dyDescent="0.25">
      <c r="A9" t="s">
        <v>29</v>
      </c>
      <c r="B9" t="s">
        <v>30</v>
      </c>
      <c r="C9">
        <v>29</v>
      </c>
      <c r="D9" s="1">
        <v>35692</v>
      </c>
      <c r="E9" s="6" t="s">
        <v>82</v>
      </c>
      <c r="F9" s="6" t="s">
        <v>85</v>
      </c>
      <c r="G9" t="s">
        <v>3</v>
      </c>
      <c r="H9">
        <v>185</v>
      </c>
      <c r="I9" t="s">
        <v>88</v>
      </c>
      <c r="J9" s="6" t="s">
        <v>91</v>
      </c>
      <c r="K9" s="6" t="s">
        <v>108</v>
      </c>
      <c r="L9" t="s">
        <v>137</v>
      </c>
      <c r="M9">
        <v>11111111</v>
      </c>
    </row>
    <row r="10" spans="1:13" x14ac:dyDescent="0.25">
      <c r="A10" t="s">
        <v>31</v>
      </c>
      <c r="B10" t="s">
        <v>32</v>
      </c>
      <c r="C10">
        <v>7</v>
      </c>
      <c r="D10" s="1">
        <v>34596</v>
      </c>
      <c r="E10" s="6" t="s">
        <v>82</v>
      </c>
      <c r="G10" t="s">
        <v>5</v>
      </c>
      <c r="H10">
        <v>201</v>
      </c>
      <c r="I10" t="s">
        <v>88</v>
      </c>
      <c r="J10" s="6" t="s">
        <v>91</v>
      </c>
      <c r="K10" s="6" t="s">
        <v>109</v>
      </c>
      <c r="L10" t="s">
        <v>138</v>
      </c>
      <c r="M10">
        <v>11111111</v>
      </c>
    </row>
    <row r="11" spans="1:13" x14ac:dyDescent="0.25">
      <c r="A11" t="s">
        <v>33</v>
      </c>
      <c r="B11" t="s">
        <v>34</v>
      </c>
      <c r="C11">
        <v>14</v>
      </c>
      <c r="D11" s="1">
        <v>35326</v>
      </c>
      <c r="E11" s="6" t="s">
        <v>82</v>
      </c>
      <c r="F11" s="6" t="s">
        <v>84</v>
      </c>
      <c r="G11" t="s">
        <v>6</v>
      </c>
      <c r="H11">
        <v>170</v>
      </c>
      <c r="I11" t="s">
        <v>88</v>
      </c>
      <c r="J11" s="6" t="s">
        <v>89</v>
      </c>
      <c r="K11" s="6" t="s">
        <v>110</v>
      </c>
      <c r="L11" t="s">
        <v>139</v>
      </c>
      <c r="M11">
        <v>11111111</v>
      </c>
    </row>
    <row r="12" spans="1:13" x14ac:dyDescent="0.25">
      <c r="A12" t="s">
        <v>35</v>
      </c>
      <c r="B12" t="s">
        <v>36</v>
      </c>
      <c r="C12">
        <v>19</v>
      </c>
      <c r="D12" s="1">
        <v>35969</v>
      </c>
      <c r="E12" s="6" t="s">
        <v>82</v>
      </c>
      <c r="F12" s="6" t="s">
        <v>85</v>
      </c>
      <c r="G12" t="s">
        <v>2</v>
      </c>
      <c r="H12">
        <v>180</v>
      </c>
      <c r="I12" t="s">
        <v>88</v>
      </c>
      <c r="J12" s="6" t="s">
        <v>91</v>
      </c>
      <c r="K12" s="6" t="s">
        <v>111</v>
      </c>
      <c r="L12" t="s">
        <v>140</v>
      </c>
      <c r="M12">
        <v>11111111</v>
      </c>
    </row>
    <row r="13" spans="1:13" x14ac:dyDescent="0.25">
      <c r="A13" t="s">
        <v>37</v>
      </c>
      <c r="B13" t="s">
        <v>38</v>
      </c>
      <c r="C13">
        <v>10</v>
      </c>
      <c r="D13" s="1">
        <v>35801</v>
      </c>
      <c r="E13" s="6" t="s">
        <v>82</v>
      </c>
      <c r="F13" s="6" t="s">
        <v>84</v>
      </c>
      <c r="G13" t="s">
        <v>1</v>
      </c>
      <c r="H13">
        <v>190</v>
      </c>
      <c r="I13" t="s">
        <v>88</v>
      </c>
      <c r="J13" s="6" t="s">
        <v>91</v>
      </c>
      <c r="K13" s="6" t="s">
        <v>112</v>
      </c>
      <c r="L13" t="s">
        <v>141</v>
      </c>
      <c r="M13">
        <v>11111111</v>
      </c>
    </row>
    <row r="14" spans="1:13" x14ac:dyDescent="0.25">
      <c r="A14" t="s">
        <v>39</v>
      </c>
      <c r="B14" t="s">
        <v>40</v>
      </c>
      <c r="C14">
        <v>22</v>
      </c>
      <c r="D14" s="1">
        <v>35219</v>
      </c>
      <c r="E14" s="6" t="s">
        <v>82</v>
      </c>
      <c r="F14" s="6" t="s">
        <v>84</v>
      </c>
      <c r="G14" t="s">
        <v>1</v>
      </c>
      <c r="H14">
        <v>185</v>
      </c>
      <c r="I14" t="s">
        <v>88</v>
      </c>
      <c r="J14" s="6" t="s">
        <v>89</v>
      </c>
      <c r="K14" s="6" t="s">
        <v>113</v>
      </c>
      <c r="L14" t="s">
        <v>142</v>
      </c>
      <c r="M14">
        <v>11111111</v>
      </c>
    </row>
    <row r="15" spans="1:13" x14ac:dyDescent="0.25">
      <c r="A15" t="s">
        <v>41</v>
      </c>
      <c r="B15" t="s">
        <v>42</v>
      </c>
      <c r="C15">
        <v>5</v>
      </c>
      <c r="D15" s="1">
        <v>35575</v>
      </c>
      <c r="E15" s="6" t="s">
        <v>82</v>
      </c>
      <c r="F15" s="6" t="s">
        <v>84</v>
      </c>
      <c r="G15" t="s">
        <v>5</v>
      </c>
      <c r="H15">
        <v>205</v>
      </c>
      <c r="I15" t="s">
        <v>93</v>
      </c>
      <c r="J15" s="6" t="s">
        <v>91</v>
      </c>
      <c r="K15" s="6" t="s">
        <v>114</v>
      </c>
      <c r="L15" t="s">
        <v>143</v>
      </c>
      <c r="M15">
        <v>11111111</v>
      </c>
    </row>
    <row r="16" spans="1:13" x14ac:dyDescent="0.25">
      <c r="A16" t="s">
        <v>43</v>
      </c>
      <c r="B16" t="s">
        <v>44</v>
      </c>
      <c r="C16">
        <v>21</v>
      </c>
      <c r="D16" s="1">
        <v>35554</v>
      </c>
      <c r="E16" s="6" t="s">
        <v>82</v>
      </c>
      <c r="G16" t="s">
        <v>6</v>
      </c>
      <c r="H16">
        <v>160</v>
      </c>
      <c r="I16" t="s">
        <v>88</v>
      </c>
      <c r="J16" s="6" t="s">
        <v>91</v>
      </c>
      <c r="K16" s="6" t="s">
        <v>115</v>
      </c>
      <c r="L16" t="s">
        <v>144</v>
      </c>
      <c r="M16">
        <v>11111111</v>
      </c>
    </row>
    <row r="17" spans="1:13" x14ac:dyDescent="0.25">
      <c r="A17" t="s">
        <v>45</v>
      </c>
      <c r="B17" t="s">
        <v>46</v>
      </c>
      <c r="C17">
        <v>4</v>
      </c>
      <c r="D17" s="1">
        <v>35817</v>
      </c>
      <c r="E17" s="6" t="s">
        <v>82</v>
      </c>
      <c r="F17" s="6" t="s">
        <v>84</v>
      </c>
      <c r="G17" t="s">
        <v>4</v>
      </c>
      <c r="H17">
        <v>185</v>
      </c>
      <c r="I17" t="s">
        <v>93</v>
      </c>
      <c r="J17" s="6" t="s">
        <v>89</v>
      </c>
      <c r="K17" s="6" t="s">
        <v>116</v>
      </c>
      <c r="L17" t="s">
        <v>145</v>
      </c>
      <c r="M17">
        <v>11111111</v>
      </c>
    </row>
    <row r="18" spans="1:13" x14ac:dyDescent="0.25">
      <c r="A18" t="s">
        <v>47</v>
      </c>
      <c r="B18" t="s">
        <v>48</v>
      </c>
      <c r="C18">
        <v>12</v>
      </c>
      <c r="D18" s="1">
        <v>35545</v>
      </c>
      <c r="E18" s="6" t="s">
        <v>82</v>
      </c>
      <c r="F18" s="6" t="s">
        <v>85</v>
      </c>
      <c r="G18" t="s">
        <v>6</v>
      </c>
      <c r="H18">
        <v>180</v>
      </c>
      <c r="I18" t="s">
        <v>88</v>
      </c>
      <c r="J18" s="6" t="s">
        <v>91</v>
      </c>
      <c r="K18" s="6" t="s">
        <v>117</v>
      </c>
      <c r="L18" t="s">
        <v>146</v>
      </c>
      <c r="M18">
        <v>11111111</v>
      </c>
    </row>
    <row r="19" spans="1:13" x14ac:dyDescent="0.25">
      <c r="A19" t="s">
        <v>49</v>
      </c>
      <c r="B19" t="s">
        <v>50</v>
      </c>
      <c r="C19">
        <v>1</v>
      </c>
      <c r="D19" s="1">
        <v>35720</v>
      </c>
      <c r="E19" s="6" t="s">
        <v>82</v>
      </c>
      <c r="F19" s="6" t="s">
        <v>84</v>
      </c>
      <c r="G19" t="s">
        <v>7</v>
      </c>
      <c r="H19">
        <v>196</v>
      </c>
      <c r="I19" t="s">
        <v>92</v>
      </c>
      <c r="J19" s="6" t="s">
        <v>91</v>
      </c>
      <c r="K19" s="6" t="s">
        <v>118</v>
      </c>
      <c r="L19" t="s">
        <v>147</v>
      </c>
      <c r="M19">
        <v>11111111</v>
      </c>
    </row>
    <row r="20" spans="1:13" x14ac:dyDescent="0.25">
      <c r="A20" t="s">
        <v>51</v>
      </c>
      <c r="B20" t="s">
        <v>52</v>
      </c>
      <c r="C20">
        <v>23</v>
      </c>
      <c r="D20" s="1">
        <v>35242</v>
      </c>
      <c r="E20" s="6" t="s">
        <v>82</v>
      </c>
      <c r="F20" s="6" t="s">
        <v>84</v>
      </c>
      <c r="G20" t="s">
        <v>6</v>
      </c>
      <c r="H20">
        <v>185</v>
      </c>
      <c r="I20" t="s">
        <v>88</v>
      </c>
      <c r="J20" s="6" t="s">
        <v>91</v>
      </c>
      <c r="K20" s="6" t="s">
        <v>119</v>
      </c>
      <c r="L20" t="s">
        <v>148</v>
      </c>
      <c r="M20">
        <v>11111111</v>
      </c>
    </row>
    <row r="21" spans="1:13" x14ac:dyDescent="0.25">
      <c r="A21" t="s">
        <v>53</v>
      </c>
      <c r="B21" t="s">
        <v>54</v>
      </c>
      <c r="C21">
        <v>24</v>
      </c>
      <c r="D21" s="1">
        <v>35788</v>
      </c>
      <c r="E21" s="6" t="s">
        <v>82</v>
      </c>
      <c r="F21" s="6" t="s">
        <v>84</v>
      </c>
      <c r="G21" t="s">
        <v>1</v>
      </c>
      <c r="H21">
        <v>180</v>
      </c>
      <c r="I21" t="s">
        <v>93</v>
      </c>
      <c r="J21" s="6" t="s">
        <v>91</v>
      </c>
      <c r="K21" s="6" t="s">
        <v>107</v>
      </c>
      <c r="L21" t="s">
        <v>149</v>
      </c>
      <c r="M21">
        <v>11111111</v>
      </c>
    </row>
    <row r="22" spans="1:13" x14ac:dyDescent="0.25">
      <c r="A22" t="s">
        <v>55</v>
      </c>
      <c r="B22" t="s">
        <v>56</v>
      </c>
      <c r="C22">
        <v>40</v>
      </c>
      <c r="D22" s="1">
        <v>35081</v>
      </c>
      <c r="E22" s="6" t="s">
        <v>82</v>
      </c>
      <c r="F22" s="6" t="s">
        <v>87</v>
      </c>
      <c r="G22" t="s">
        <v>1</v>
      </c>
      <c r="H22">
        <v>185</v>
      </c>
      <c r="I22" t="s">
        <v>92</v>
      </c>
      <c r="J22" s="6" t="s">
        <v>91</v>
      </c>
      <c r="K22" s="6" t="s">
        <v>120</v>
      </c>
      <c r="L22" t="s">
        <v>150</v>
      </c>
      <c r="M22">
        <v>11111111</v>
      </c>
    </row>
    <row r="23" spans="1:13" x14ac:dyDescent="0.25">
      <c r="A23" t="s">
        <v>96</v>
      </c>
      <c r="B23" t="s">
        <v>97</v>
      </c>
      <c r="C23">
        <v>28</v>
      </c>
      <c r="D23" s="1">
        <v>36157</v>
      </c>
      <c r="E23" s="6" t="s">
        <v>82</v>
      </c>
      <c r="F23" s="6" t="s">
        <v>86</v>
      </c>
      <c r="G23" t="s">
        <v>3</v>
      </c>
      <c r="H23">
        <v>185</v>
      </c>
      <c r="I23" t="s">
        <v>88</v>
      </c>
      <c r="J23" s="6" t="s">
        <v>91</v>
      </c>
      <c r="K23" s="6" t="s">
        <v>98</v>
      </c>
      <c r="L23" t="s">
        <v>151</v>
      </c>
      <c r="M23">
        <v>11111111</v>
      </c>
    </row>
    <row r="24" spans="1:13" x14ac:dyDescent="0.25">
      <c r="A24" t="s">
        <v>57</v>
      </c>
      <c r="B24" t="s">
        <v>58</v>
      </c>
      <c r="C24">
        <v>16</v>
      </c>
      <c r="D24" s="1">
        <v>34705</v>
      </c>
      <c r="E24" s="6" t="s">
        <v>82</v>
      </c>
      <c r="F24" s="6" t="s">
        <v>87</v>
      </c>
      <c r="G24" t="s">
        <v>5</v>
      </c>
      <c r="H24">
        <v>210</v>
      </c>
      <c r="I24" t="s">
        <v>88</v>
      </c>
      <c r="J24" s="6" t="s">
        <v>91</v>
      </c>
      <c r="K24" s="6" t="s">
        <v>121</v>
      </c>
      <c r="L24" t="s">
        <v>152</v>
      </c>
      <c r="M24">
        <v>11111111</v>
      </c>
    </row>
    <row r="25" spans="1:13" x14ac:dyDescent="0.25">
      <c r="A25" t="s">
        <v>59</v>
      </c>
      <c r="B25" t="s">
        <v>60</v>
      </c>
      <c r="C25">
        <v>2</v>
      </c>
      <c r="D25" s="1">
        <v>35839</v>
      </c>
      <c r="E25" s="6" t="s">
        <v>82</v>
      </c>
      <c r="F25" s="6" t="s">
        <v>85</v>
      </c>
      <c r="G25" t="s">
        <v>7</v>
      </c>
      <c r="H25">
        <v>218</v>
      </c>
      <c r="I25" t="s">
        <v>93</v>
      </c>
      <c r="J25" s="6" t="s">
        <v>89</v>
      </c>
      <c r="K25" s="6" t="s">
        <v>122</v>
      </c>
      <c r="L25" t="s">
        <v>153</v>
      </c>
      <c r="M25">
        <v>11111111</v>
      </c>
    </row>
    <row r="26" spans="1:13" x14ac:dyDescent="0.25">
      <c r="A26" t="s">
        <v>99</v>
      </c>
      <c r="B26" t="s">
        <v>72</v>
      </c>
      <c r="C26">
        <v>6</v>
      </c>
      <c r="D26" s="1">
        <v>36196</v>
      </c>
      <c r="E26" s="6" t="s">
        <v>82</v>
      </c>
      <c r="F26" s="6" t="s">
        <v>86</v>
      </c>
      <c r="G26" t="s">
        <v>4</v>
      </c>
      <c r="H26">
        <v>160</v>
      </c>
      <c r="I26" t="s">
        <v>93</v>
      </c>
      <c r="J26" s="6" t="s">
        <v>89</v>
      </c>
      <c r="K26" s="6" t="s">
        <v>102</v>
      </c>
      <c r="L26" t="s">
        <v>154</v>
      </c>
      <c r="M26">
        <v>11111111</v>
      </c>
    </row>
    <row r="27" spans="1:13" x14ac:dyDescent="0.25">
      <c r="A27" t="s">
        <v>100</v>
      </c>
      <c r="B27" t="s">
        <v>101</v>
      </c>
      <c r="C27">
        <v>21</v>
      </c>
      <c r="D27" s="1">
        <v>36702</v>
      </c>
      <c r="E27" s="6" t="s">
        <v>82</v>
      </c>
      <c r="F27" s="6" t="s">
        <v>86</v>
      </c>
      <c r="G27" t="s">
        <v>5</v>
      </c>
      <c r="H27">
        <v>190</v>
      </c>
      <c r="I27" t="s">
        <v>88</v>
      </c>
      <c r="J27" s="6" t="s">
        <v>91</v>
      </c>
      <c r="K27" s="6" t="s">
        <v>103</v>
      </c>
      <c r="L27" t="s">
        <v>155</v>
      </c>
      <c r="M27">
        <v>11111111</v>
      </c>
    </row>
    <row r="28" spans="1:13" x14ac:dyDescent="0.25">
      <c r="A28" t="s">
        <v>61</v>
      </c>
      <c r="B28" t="s">
        <v>62</v>
      </c>
      <c r="C28" s="4">
        <v>34</v>
      </c>
      <c r="D28" s="1">
        <v>35451</v>
      </c>
      <c r="E28" s="6" t="s">
        <v>82</v>
      </c>
      <c r="G28" t="s">
        <v>5</v>
      </c>
      <c r="H28">
        <v>177</v>
      </c>
      <c r="I28" t="s">
        <v>93</v>
      </c>
      <c r="J28" s="6" t="s">
        <v>91</v>
      </c>
      <c r="K28" s="6" t="s">
        <v>123</v>
      </c>
      <c r="L28" t="s">
        <v>156</v>
      </c>
      <c r="M28">
        <v>11111111</v>
      </c>
    </row>
    <row r="29" spans="1:13" x14ac:dyDescent="0.25">
      <c r="A29" t="s">
        <v>63</v>
      </c>
      <c r="B29" t="s">
        <v>64</v>
      </c>
      <c r="C29">
        <v>9</v>
      </c>
      <c r="D29" s="1">
        <v>36408</v>
      </c>
      <c r="E29" s="6" t="s">
        <v>82</v>
      </c>
      <c r="F29" s="6" t="s">
        <v>84</v>
      </c>
      <c r="G29" t="s">
        <v>8</v>
      </c>
      <c r="H29">
        <v>195</v>
      </c>
      <c r="I29" t="s">
        <v>88</v>
      </c>
      <c r="J29" s="6" t="s">
        <v>91</v>
      </c>
      <c r="K29" s="6" t="s">
        <v>108</v>
      </c>
      <c r="L29" t="s">
        <v>157</v>
      </c>
      <c r="M29">
        <v>11111111</v>
      </c>
    </row>
    <row r="30" spans="1:13" x14ac:dyDescent="0.25">
      <c r="A30" t="s">
        <v>65</v>
      </c>
      <c r="B30" t="s">
        <v>66</v>
      </c>
      <c r="C30">
        <v>15</v>
      </c>
      <c r="D30" s="1">
        <v>34897</v>
      </c>
      <c r="E30" s="6" t="s">
        <v>82</v>
      </c>
      <c r="F30" s="6" t="s">
        <v>87</v>
      </c>
      <c r="G30" t="s">
        <v>2</v>
      </c>
      <c r="H30">
        <v>180</v>
      </c>
      <c r="I30" t="s">
        <v>93</v>
      </c>
      <c r="J30" s="6" t="s">
        <v>91</v>
      </c>
      <c r="K30" s="6" t="s">
        <v>124</v>
      </c>
      <c r="L30" t="s">
        <v>158</v>
      </c>
      <c r="M30">
        <v>11111111</v>
      </c>
    </row>
    <row r="31" spans="1:13" x14ac:dyDescent="0.25">
      <c r="A31" t="s">
        <v>67</v>
      </c>
      <c r="B31" t="s">
        <v>68</v>
      </c>
      <c r="C31">
        <v>18</v>
      </c>
      <c r="D31" s="1">
        <v>34748</v>
      </c>
      <c r="E31" s="6" t="s">
        <v>82</v>
      </c>
      <c r="F31" s="6" t="s">
        <v>87</v>
      </c>
      <c r="G31" t="s">
        <v>3</v>
      </c>
      <c r="H31">
        <v>195</v>
      </c>
      <c r="I31" t="s">
        <v>93</v>
      </c>
      <c r="J31" s="6" t="s">
        <v>89</v>
      </c>
      <c r="K31" s="6" t="s">
        <v>125</v>
      </c>
      <c r="L31" t="s">
        <v>159</v>
      </c>
      <c r="M31">
        <v>11111111</v>
      </c>
    </row>
    <row r="32" spans="1:13" x14ac:dyDescent="0.25">
      <c r="A32" t="s">
        <v>69</v>
      </c>
      <c r="B32" t="s">
        <v>70</v>
      </c>
      <c r="C32">
        <v>11</v>
      </c>
      <c r="D32" s="1">
        <v>34495</v>
      </c>
      <c r="E32" s="6" t="s">
        <v>82</v>
      </c>
      <c r="F32" s="6" t="s">
        <v>85</v>
      </c>
      <c r="G32" t="s">
        <v>1</v>
      </c>
      <c r="H32">
        <v>200</v>
      </c>
      <c r="I32" t="s">
        <v>88</v>
      </c>
      <c r="J32" s="6" t="s">
        <v>91</v>
      </c>
      <c r="K32" s="6" t="s">
        <v>126</v>
      </c>
      <c r="L32" t="s">
        <v>160</v>
      </c>
      <c r="M32">
        <v>11111111</v>
      </c>
    </row>
    <row r="33" spans="1:13" x14ac:dyDescent="0.25">
      <c r="A33" t="s">
        <v>71</v>
      </c>
      <c r="B33" t="s">
        <v>72</v>
      </c>
      <c r="C33">
        <v>3</v>
      </c>
      <c r="D33" s="1">
        <v>35866</v>
      </c>
      <c r="E33" s="6" t="s">
        <v>82</v>
      </c>
      <c r="F33" s="6" t="s">
        <v>86</v>
      </c>
      <c r="G33" t="s">
        <v>3</v>
      </c>
      <c r="H33">
        <v>190</v>
      </c>
      <c r="I33" t="s">
        <v>93</v>
      </c>
      <c r="J33" s="6" t="s">
        <v>89</v>
      </c>
      <c r="K33" s="6" t="s">
        <v>127</v>
      </c>
      <c r="L33" t="s">
        <v>161</v>
      </c>
      <c r="M33">
        <v>11111111</v>
      </c>
    </row>
    <row r="34" spans="1:13" x14ac:dyDescent="0.25">
      <c r="A34" t="s">
        <v>73</v>
      </c>
      <c r="B34" t="s">
        <v>74</v>
      </c>
      <c r="C34">
        <v>17</v>
      </c>
      <c r="D34" s="1">
        <v>34822</v>
      </c>
      <c r="E34" s="6" t="s">
        <v>82</v>
      </c>
      <c r="G34" t="s">
        <v>2</v>
      </c>
      <c r="H34">
        <v>168</v>
      </c>
      <c r="I34" t="s">
        <v>88</v>
      </c>
      <c r="J34" s="6" t="s">
        <v>91</v>
      </c>
      <c r="K34" s="6" t="s">
        <v>128</v>
      </c>
      <c r="L34" t="s">
        <v>162</v>
      </c>
      <c r="M34">
        <v>11111111</v>
      </c>
    </row>
    <row r="35" spans="1:13" x14ac:dyDescent="0.25">
      <c r="A35" t="s">
        <v>23</v>
      </c>
      <c r="B35" t="s">
        <v>75</v>
      </c>
      <c r="C35">
        <v>27</v>
      </c>
      <c r="D35" s="1">
        <v>35873</v>
      </c>
      <c r="E35" s="6" t="s">
        <v>82</v>
      </c>
      <c r="F35" s="6" t="s">
        <v>84</v>
      </c>
      <c r="G35" t="s">
        <v>9</v>
      </c>
      <c r="H35">
        <v>215</v>
      </c>
      <c r="I35" t="s">
        <v>93</v>
      </c>
      <c r="J35" s="6" t="s">
        <v>91</v>
      </c>
      <c r="K35" s="6" t="s">
        <v>129</v>
      </c>
      <c r="L35" t="s">
        <v>163</v>
      </c>
      <c r="M35">
        <v>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workbookViewId="0">
      <selection activeCell="D2" sqref="D2"/>
    </sheetView>
  </sheetViews>
  <sheetFormatPr defaultRowHeight="12.5" x14ac:dyDescent="0.25"/>
  <cols>
    <col min="1" max="1" width="11.453125" bestFit="1" customWidth="1"/>
    <col min="4" max="4" width="10.1796875" bestFit="1" customWidth="1"/>
    <col min="5" max="5" width="18.7265625" bestFit="1" customWidth="1"/>
    <col min="6" max="6" width="9" bestFit="1" customWidth="1"/>
    <col min="7" max="7" width="17.54296875" bestFit="1" customWidth="1"/>
  </cols>
  <sheetData>
    <row r="1" spans="1:14" s="2" customFormat="1" ht="140.15" customHeight="1" x14ac:dyDescent="0.25">
      <c r="A1" s="3" t="s">
        <v>11</v>
      </c>
      <c r="B1" s="3" t="s">
        <v>12</v>
      </c>
      <c r="C1" s="3" t="s">
        <v>10</v>
      </c>
      <c r="D1" s="2" t="s">
        <v>0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76</v>
      </c>
    </row>
    <row r="2" spans="1:14" x14ac:dyDescent="0.25">
      <c r="A2" t="s">
        <v>22</v>
      </c>
      <c r="B2" t="s">
        <v>23</v>
      </c>
      <c r="C2">
        <v>37</v>
      </c>
      <c r="D2" s="1">
        <v>34819</v>
      </c>
      <c r="E2" t="s">
        <v>82</v>
      </c>
      <c r="F2">
        <v>20182019</v>
      </c>
      <c r="G2" t="s">
        <v>83</v>
      </c>
      <c r="H2" t="s">
        <v>1</v>
      </c>
      <c r="I2">
        <v>190</v>
      </c>
      <c r="J2" t="s">
        <v>88</v>
      </c>
      <c r="K2" t="s">
        <v>89</v>
      </c>
      <c r="L2" t="s">
        <v>104</v>
      </c>
      <c r="M2" t="str">
        <f>CONCATENATE(A2,".",B2,"@uvm.edu")</f>
        <v>Aldworth.Thomas@uvm.edu</v>
      </c>
      <c r="N2">
        <v>11111111</v>
      </c>
    </row>
    <row r="3" spans="1:14" x14ac:dyDescent="0.25">
      <c r="A3" t="s">
        <v>24</v>
      </c>
      <c r="B3" t="s">
        <v>25</v>
      </c>
      <c r="C3">
        <v>25</v>
      </c>
      <c r="D3" s="1">
        <v>35253</v>
      </c>
      <c r="E3" t="s">
        <v>82</v>
      </c>
      <c r="F3">
        <v>20812019</v>
      </c>
      <c r="G3" t="s">
        <v>84</v>
      </c>
      <c r="H3" t="s">
        <v>2</v>
      </c>
      <c r="I3">
        <v>190</v>
      </c>
      <c r="J3" t="s">
        <v>88</v>
      </c>
      <c r="K3" t="s">
        <v>91</v>
      </c>
      <c r="L3" t="s">
        <v>105</v>
      </c>
      <c r="M3" t="str">
        <f t="shared" ref="M3:M35" si="0">CONCATENATE(A3,".",B3,"@uvm.edu")</f>
        <v>Alvaro.Matt@uvm.edu</v>
      </c>
      <c r="N3">
        <v>11111111</v>
      </c>
    </row>
    <row r="4" spans="1:14" x14ac:dyDescent="0.25">
      <c r="A4" t="s">
        <v>26</v>
      </c>
      <c r="B4" t="s">
        <v>25</v>
      </c>
      <c r="C4">
        <v>30</v>
      </c>
      <c r="D4" s="1">
        <v>35343</v>
      </c>
      <c r="E4" t="s">
        <v>82</v>
      </c>
      <c r="F4">
        <v>20182019</v>
      </c>
      <c r="G4" t="s">
        <v>85</v>
      </c>
      <c r="H4" t="s">
        <v>3</v>
      </c>
      <c r="I4">
        <v>185</v>
      </c>
      <c r="J4" t="s">
        <v>92</v>
      </c>
      <c r="K4" t="s">
        <v>91</v>
      </c>
      <c r="L4" t="s">
        <v>106</v>
      </c>
      <c r="M4" t="str">
        <f t="shared" si="0"/>
        <v>Beck.Matt@uvm.edu</v>
      </c>
      <c r="N4">
        <v>11111111</v>
      </c>
    </row>
    <row r="5" spans="1:14" x14ac:dyDescent="0.25">
      <c r="A5" t="s">
        <v>77</v>
      </c>
      <c r="B5" t="s">
        <v>23</v>
      </c>
      <c r="C5">
        <v>26</v>
      </c>
      <c r="D5" s="1">
        <v>34797</v>
      </c>
      <c r="E5" t="s">
        <v>82</v>
      </c>
      <c r="F5">
        <v>20192020</v>
      </c>
      <c r="G5" t="s">
        <v>87</v>
      </c>
      <c r="H5" t="s">
        <v>8</v>
      </c>
      <c r="I5">
        <v>210</v>
      </c>
      <c r="J5" t="s">
        <v>88</v>
      </c>
      <c r="K5" t="s">
        <v>89</v>
      </c>
      <c r="L5" t="s">
        <v>90</v>
      </c>
      <c r="M5" t="str">
        <f t="shared" si="0"/>
        <v>Beretta.Thomas@uvm.edu</v>
      </c>
      <c r="N5">
        <v>11111111</v>
      </c>
    </row>
    <row r="6" spans="1:14" x14ac:dyDescent="0.25">
      <c r="A6" t="s">
        <v>78</v>
      </c>
      <c r="B6" t="s">
        <v>79</v>
      </c>
      <c r="C6">
        <v>17</v>
      </c>
      <c r="D6" s="1">
        <v>36566</v>
      </c>
      <c r="E6" t="s">
        <v>82</v>
      </c>
      <c r="F6">
        <v>20192020</v>
      </c>
      <c r="G6" t="s">
        <v>86</v>
      </c>
      <c r="H6" t="s">
        <v>1</v>
      </c>
      <c r="I6">
        <v>180</v>
      </c>
      <c r="J6" t="s">
        <v>88</v>
      </c>
      <c r="K6" t="s">
        <v>91</v>
      </c>
      <c r="L6" t="s">
        <v>94</v>
      </c>
      <c r="M6" t="str">
        <f t="shared" si="0"/>
        <v>Bouquot.Jacques@uvm.edu</v>
      </c>
      <c r="N6">
        <v>11111111</v>
      </c>
    </row>
    <row r="7" spans="1:14" x14ac:dyDescent="0.25">
      <c r="A7" t="s">
        <v>80</v>
      </c>
      <c r="B7" t="s">
        <v>81</v>
      </c>
      <c r="C7">
        <v>7</v>
      </c>
      <c r="D7" s="1">
        <v>36195</v>
      </c>
      <c r="E7" t="s">
        <v>82</v>
      </c>
      <c r="F7">
        <v>20192020</v>
      </c>
      <c r="G7" t="s">
        <v>86</v>
      </c>
      <c r="H7" t="s">
        <v>3</v>
      </c>
      <c r="I7">
        <v>175</v>
      </c>
      <c r="J7" t="s">
        <v>88</v>
      </c>
      <c r="K7" t="s">
        <v>89</v>
      </c>
      <c r="L7" t="s">
        <v>95</v>
      </c>
      <c r="M7" t="str">
        <f t="shared" si="0"/>
        <v>Boyko.Simon@uvm.edu</v>
      </c>
      <c r="N7">
        <v>11111111</v>
      </c>
    </row>
    <row r="8" spans="1:14" x14ac:dyDescent="0.25">
      <c r="A8" t="s">
        <v>27</v>
      </c>
      <c r="B8" t="s">
        <v>28</v>
      </c>
      <c r="C8">
        <v>13</v>
      </c>
      <c r="D8" s="1">
        <v>36353</v>
      </c>
      <c r="E8" t="s">
        <v>82</v>
      </c>
      <c r="F8">
        <v>20182019</v>
      </c>
      <c r="G8" t="s">
        <v>86</v>
      </c>
      <c r="H8" t="s">
        <v>4</v>
      </c>
      <c r="I8">
        <v>185</v>
      </c>
      <c r="J8" t="s">
        <v>88</v>
      </c>
      <c r="K8" t="s">
        <v>89</v>
      </c>
      <c r="L8" t="s">
        <v>107</v>
      </c>
      <c r="M8" t="str">
        <f t="shared" si="0"/>
        <v>Cipollone.Joey@uvm.edu</v>
      </c>
      <c r="N8">
        <v>11111111</v>
      </c>
    </row>
    <row r="9" spans="1:14" x14ac:dyDescent="0.25">
      <c r="A9" t="s">
        <v>29</v>
      </c>
      <c r="B9" t="s">
        <v>30</v>
      </c>
      <c r="C9">
        <v>29</v>
      </c>
      <c r="D9" s="1">
        <v>35692</v>
      </c>
      <c r="E9" t="s">
        <v>82</v>
      </c>
      <c r="F9">
        <v>20182019</v>
      </c>
      <c r="G9" t="s">
        <v>86</v>
      </c>
      <c r="H9" t="s">
        <v>3</v>
      </c>
      <c r="I9">
        <v>185</v>
      </c>
      <c r="J9" t="s">
        <v>88</v>
      </c>
      <c r="K9" t="s">
        <v>91</v>
      </c>
      <c r="L9" t="s">
        <v>108</v>
      </c>
      <c r="M9" t="str">
        <f t="shared" si="0"/>
        <v>Comeau.Dallas@uvm.edu</v>
      </c>
      <c r="N9">
        <v>11111111</v>
      </c>
    </row>
    <row r="10" spans="1:14" x14ac:dyDescent="0.25">
      <c r="A10" t="s">
        <v>31</v>
      </c>
      <c r="B10" t="s">
        <v>32</v>
      </c>
      <c r="C10">
        <v>7</v>
      </c>
      <c r="D10" s="1">
        <v>34596</v>
      </c>
      <c r="E10" t="s">
        <v>82</v>
      </c>
      <c r="F10">
        <v>20182019</v>
      </c>
      <c r="G10" t="s">
        <v>87</v>
      </c>
      <c r="H10" t="s">
        <v>5</v>
      </c>
      <c r="I10">
        <v>201</v>
      </c>
      <c r="J10" t="s">
        <v>88</v>
      </c>
      <c r="K10" t="s">
        <v>91</v>
      </c>
      <c r="L10" t="s">
        <v>109</v>
      </c>
      <c r="M10" t="str">
        <f t="shared" si="0"/>
        <v>Coughlin.Liam@uvm.edu</v>
      </c>
      <c r="N10">
        <v>11111111</v>
      </c>
    </row>
    <row r="11" spans="1:14" x14ac:dyDescent="0.25">
      <c r="A11" t="s">
        <v>33</v>
      </c>
      <c r="B11" t="s">
        <v>34</v>
      </c>
      <c r="C11">
        <v>14</v>
      </c>
      <c r="D11" s="1">
        <v>35326</v>
      </c>
      <c r="E11" t="s">
        <v>82</v>
      </c>
      <c r="F11">
        <v>20182019</v>
      </c>
      <c r="G11" t="s">
        <v>85</v>
      </c>
      <c r="H11" t="s">
        <v>6</v>
      </c>
      <c r="I11">
        <v>170</v>
      </c>
      <c r="J11" t="s">
        <v>88</v>
      </c>
      <c r="K11" t="s">
        <v>89</v>
      </c>
      <c r="L11" t="s">
        <v>110</v>
      </c>
      <c r="M11" t="str">
        <f t="shared" si="0"/>
        <v>Cowans.Ace@uvm.edu</v>
      </c>
      <c r="N11">
        <v>11111111</v>
      </c>
    </row>
    <row r="12" spans="1:14" x14ac:dyDescent="0.25">
      <c r="A12" t="s">
        <v>35</v>
      </c>
      <c r="B12" t="s">
        <v>36</v>
      </c>
      <c r="C12">
        <v>19</v>
      </c>
      <c r="D12" s="1">
        <v>35969</v>
      </c>
      <c r="E12" t="s">
        <v>82</v>
      </c>
      <c r="F12">
        <v>20182019</v>
      </c>
      <c r="G12" t="s">
        <v>86</v>
      </c>
      <c r="H12" t="s">
        <v>2</v>
      </c>
      <c r="I12">
        <v>180</v>
      </c>
      <c r="J12" t="s">
        <v>88</v>
      </c>
      <c r="K12" t="s">
        <v>91</v>
      </c>
      <c r="L12" t="s">
        <v>111</v>
      </c>
      <c r="M12" t="str">
        <f t="shared" si="0"/>
        <v>Deroche.John@uvm.edu</v>
      </c>
      <c r="N12">
        <v>11111111</v>
      </c>
    </row>
    <row r="13" spans="1:14" x14ac:dyDescent="0.25">
      <c r="A13" t="s">
        <v>37</v>
      </c>
      <c r="B13" t="s">
        <v>38</v>
      </c>
      <c r="C13">
        <v>10</v>
      </c>
      <c r="D13" s="1">
        <v>35801</v>
      </c>
      <c r="E13" t="s">
        <v>82</v>
      </c>
      <c r="F13">
        <v>20182019</v>
      </c>
      <c r="G13" t="s">
        <v>85</v>
      </c>
      <c r="H13" t="s">
        <v>1</v>
      </c>
      <c r="I13">
        <v>190</v>
      </c>
      <c r="J13" t="s">
        <v>88</v>
      </c>
      <c r="K13" t="s">
        <v>91</v>
      </c>
      <c r="L13" t="s">
        <v>112</v>
      </c>
      <c r="M13" t="str">
        <f t="shared" si="0"/>
        <v>Dzhioshvili.Vladislav@uvm.edu</v>
      </c>
      <c r="N13">
        <v>11111111</v>
      </c>
    </row>
    <row r="14" spans="1:14" x14ac:dyDescent="0.25">
      <c r="A14" t="s">
        <v>39</v>
      </c>
      <c r="B14" t="s">
        <v>40</v>
      </c>
      <c r="C14">
        <v>22</v>
      </c>
      <c r="D14" s="1">
        <v>35219</v>
      </c>
      <c r="E14" t="s">
        <v>82</v>
      </c>
      <c r="F14">
        <v>20182019</v>
      </c>
      <c r="G14" t="s">
        <v>85</v>
      </c>
      <c r="H14" t="s">
        <v>1</v>
      </c>
      <c r="I14">
        <v>185</v>
      </c>
      <c r="J14" t="s">
        <v>88</v>
      </c>
      <c r="K14" t="s">
        <v>89</v>
      </c>
      <c r="L14" t="s">
        <v>113</v>
      </c>
      <c r="M14" t="str">
        <f t="shared" si="0"/>
        <v>Esposito.Alex@uvm.edu</v>
      </c>
      <c r="N14">
        <v>11111111</v>
      </c>
    </row>
    <row r="15" spans="1:14" x14ac:dyDescent="0.25">
      <c r="A15" t="s">
        <v>41</v>
      </c>
      <c r="B15" t="s">
        <v>42</v>
      </c>
      <c r="C15">
        <v>5</v>
      </c>
      <c r="D15" s="1">
        <v>35575</v>
      </c>
      <c r="E15" t="s">
        <v>82</v>
      </c>
      <c r="F15">
        <v>20182019</v>
      </c>
      <c r="G15" t="s">
        <v>85</v>
      </c>
      <c r="H15" t="s">
        <v>5</v>
      </c>
      <c r="I15">
        <v>205</v>
      </c>
      <c r="J15" t="s">
        <v>93</v>
      </c>
      <c r="K15" t="s">
        <v>91</v>
      </c>
      <c r="L15" t="s">
        <v>114</v>
      </c>
      <c r="M15" t="str">
        <f t="shared" si="0"/>
        <v>Evers.Christian@uvm.edu</v>
      </c>
      <c r="N15">
        <v>11111111</v>
      </c>
    </row>
    <row r="16" spans="1:14" x14ac:dyDescent="0.25">
      <c r="A16" t="s">
        <v>43</v>
      </c>
      <c r="B16" t="s">
        <v>44</v>
      </c>
      <c r="C16">
        <v>21</v>
      </c>
      <c r="D16" s="1">
        <v>35554</v>
      </c>
      <c r="E16" t="s">
        <v>82</v>
      </c>
      <c r="F16">
        <v>20182019</v>
      </c>
      <c r="G16" t="s">
        <v>85</v>
      </c>
      <c r="H16" t="s">
        <v>6</v>
      </c>
      <c r="I16">
        <v>160</v>
      </c>
      <c r="J16" t="s">
        <v>88</v>
      </c>
      <c r="K16" t="s">
        <v>91</v>
      </c>
      <c r="L16" t="s">
        <v>115</v>
      </c>
      <c r="M16" t="str">
        <f t="shared" si="0"/>
        <v>Frechette.Martin@uvm.edu</v>
      </c>
      <c r="N16">
        <v>11111111</v>
      </c>
    </row>
    <row r="17" spans="1:14" x14ac:dyDescent="0.25">
      <c r="A17" t="s">
        <v>45</v>
      </c>
      <c r="B17" t="s">
        <v>46</v>
      </c>
      <c r="C17">
        <v>4</v>
      </c>
      <c r="D17" s="1">
        <v>35817</v>
      </c>
      <c r="E17" t="s">
        <v>82</v>
      </c>
      <c r="F17">
        <v>20182019</v>
      </c>
      <c r="G17" t="s">
        <v>85</v>
      </c>
      <c r="H17" t="s">
        <v>4</v>
      </c>
      <c r="I17">
        <v>185</v>
      </c>
      <c r="J17" t="s">
        <v>93</v>
      </c>
      <c r="K17" t="s">
        <v>89</v>
      </c>
      <c r="L17" t="s">
        <v>116</v>
      </c>
      <c r="M17" t="str">
        <f t="shared" si="0"/>
        <v>Grant.Owen@uvm.edu</v>
      </c>
      <c r="N17">
        <v>11111111</v>
      </c>
    </row>
    <row r="18" spans="1:14" x14ac:dyDescent="0.25">
      <c r="A18" t="s">
        <v>47</v>
      </c>
      <c r="B18" t="s">
        <v>48</v>
      </c>
      <c r="C18">
        <v>12</v>
      </c>
      <c r="D18" s="1">
        <v>35545</v>
      </c>
      <c r="E18" t="s">
        <v>82</v>
      </c>
      <c r="F18">
        <v>20182019</v>
      </c>
      <c r="G18" t="s">
        <v>86</v>
      </c>
      <c r="H18" t="s">
        <v>6</v>
      </c>
      <c r="I18">
        <v>180</v>
      </c>
      <c r="J18" t="s">
        <v>88</v>
      </c>
      <c r="K18" t="s">
        <v>91</v>
      </c>
      <c r="L18" t="s">
        <v>117</v>
      </c>
      <c r="M18" t="str">
        <f t="shared" si="0"/>
        <v>Hamre.Nic@uvm.edu</v>
      </c>
      <c r="N18">
        <v>11111111</v>
      </c>
    </row>
    <row r="19" spans="1:14" x14ac:dyDescent="0.25">
      <c r="A19" t="s">
        <v>49</v>
      </c>
      <c r="B19" t="s">
        <v>50</v>
      </c>
      <c r="C19">
        <v>1</v>
      </c>
      <c r="D19" s="1">
        <v>35720</v>
      </c>
      <c r="E19" t="s">
        <v>82</v>
      </c>
      <c r="F19">
        <v>20182019</v>
      </c>
      <c r="G19" t="s">
        <v>85</v>
      </c>
      <c r="H19" t="s">
        <v>7</v>
      </c>
      <c r="I19">
        <v>196</v>
      </c>
      <c r="J19" t="s">
        <v>92</v>
      </c>
      <c r="K19" t="s">
        <v>91</v>
      </c>
      <c r="L19" t="s">
        <v>118</v>
      </c>
      <c r="M19" t="str">
        <f t="shared" si="0"/>
        <v>Harmon.Tyler@uvm.edu</v>
      </c>
      <c r="N19">
        <v>11111111</v>
      </c>
    </row>
    <row r="20" spans="1:14" x14ac:dyDescent="0.25">
      <c r="A20" t="s">
        <v>51</v>
      </c>
      <c r="B20" t="s">
        <v>52</v>
      </c>
      <c r="C20">
        <v>23</v>
      </c>
      <c r="D20" s="1">
        <v>35242</v>
      </c>
      <c r="E20" t="s">
        <v>82</v>
      </c>
      <c r="F20">
        <v>20182019</v>
      </c>
      <c r="G20" t="s">
        <v>85</v>
      </c>
      <c r="H20" t="s">
        <v>6</v>
      </c>
      <c r="I20">
        <v>185</v>
      </c>
      <c r="J20" t="s">
        <v>88</v>
      </c>
      <c r="K20" t="s">
        <v>91</v>
      </c>
      <c r="L20" t="s">
        <v>119</v>
      </c>
      <c r="M20" t="str">
        <f t="shared" si="0"/>
        <v>Kaufman.Max@uvm.edu</v>
      </c>
      <c r="N20">
        <v>11111111</v>
      </c>
    </row>
    <row r="21" spans="1:14" x14ac:dyDescent="0.25">
      <c r="A21" t="s">
        <v>53</v>
      </c>
      <c r="B21" t="s">
        <v>54</v>
      </c>
      <c r="C21">
        <v>24</v>
      </c>
      <c r="D21" s="1">
        <v>35788</v>
      </c>
      <c r="E21" t="s">
        <v>82</v>
      </c>
      <c r="F21">
        <v>20182019</v>
      </c>
      <c r="G21" t="s">
        <v>85</v>
      </c>
      <c r="H21" t="s">
        <v>1</v>
      </c>
      <c r="I21">
        <v>180</v>
      </c>
      <c r="J21" t="s">
        <v>93</v>
      </c>
      <c r="K21" t="s">
        <v>91</v>
      </c>
      <c r="L21" t="s">
        <v>107</v>
      </c>
      <c r="M21" t="str">
        <f t="shared" si="0"/>
        <v>Kelly.Brian@uvm.edu</v>
      </c>
      <c r="N21">
        <v>11111111</v>
      </c>
    </row>
    <row r="22" spans="1:14" x14ac:dyDescent="0.25">
      <c r="A22" t="s">
        <v>55</v>
      </c>
      <c r="B22" t="s">
        <v>56</v>
      </c>
      <c r="C22">
        <v>40</v>
      </c>
      <c r="D22" s="1">
        <v>35081</v>
      </c>
      <c r="E22" t="s">
        <v>82</v>
      </c>
      <c r="F22">
        <v>20182019</v>
      </c>
      <c r="G22" t="s">
        <v>84</v>
      </c>
      <c r="H22" t="s">
        <v>1</v>
      </c>
      <c r="I22">
        <v>185</v>
      </c>
      <c r="J22" t="s">
        <v>92</v>
      </c>
      <c r="K22" t="s">
        <v>91</v>
      </c>
      <c r="L22" t="s">
        <v>120</v>
      </c>
      <c r="M22" t="str">
        <f t="shared" si="0"/>
        <v>Lekkas.Stefanos@uvm.edu</v>
      </c>
      <c r="N22">
        <v>11111111</v>
      </c>
    </row>
    <row r="23" spans="1:14" x14ac:dyDescent="0.25">
      <c r="A23" t="s">
        <v>96</v>
      </c>
      <c r="B23" t="s">
        <v>97</v>
      </c>
      <c r="C23">
        <v>28</v>
      </c>
      <c r="D23" s="1">
        <v>36157</v>
      </c>
      <c r="E23" t="s">
        <v>82</v>
      </c>
      <c r="F23">
        <v>20192020</v>
      </c>
      <c r="G23" t="s">
        <v>86</v>
      </c>
      <c r="H23" t="s">
        <v>3</v>
      </c>
      <c r="I23">
        <v>185</v>
      </c>
      <c r="J23" t="s">
        <v>88</v>
      </c>
      <c r="K23" t="s">
        <v>91</v>
      </c>
      <c r="L23" t="s">
        <v>98</v>
      </c>
      <c r="M23" t="str">
        <f t="shared" si="0"/>
        <v>Lemay.William@uvm.edu</v>
      </c>
      <c r="N23">
        <v>11111111</v>
      </c>
    </row>
    <row r="24" spans="1:14" x14ac:dyDescent="0.25">
      <c r="A24" t="s">
        <v>57</v>
      </c>
      <c r="B24" t="s">
        <v>58</v>
      </c>
      <c r="C24">
        <v>16</v>
      </c>
      <c r="D24" s="1">
        <v>34705</v>
      </c>
      <c r="E24" t="s">
        <v>82</v>
      </c>
      <c r="F24">
        <v>20182019</v>
      </c>
      <c r="G24" t="s">
        <v>84</v>
      </c>
      <c r="H24" t="s">
        <v>5</v>
      </c>
      <c r="I24">
        <v>210</v>
      </c>
      <c r="J24" t="s">
        <v>88</v>
      </c>
      <c r="K24" t="s">
        <v>91</v>
      </c>
      <c r="L24" t="s">
        <v>121</v>
      </c>
      <c r="M24" t="str">
        <f t="shared" si="0"/>
        <v>Lodermeier.Derek@uvm.edu</v>
      </c>
      <c r="N24">
        <v>11111111</v>
      </c>
    </row>
    <row r="25" spans="1:14" x14ac:dyDescent="0.25">
      <c r="A25" t="s">
        <v>59</v>
      </c>
      <c r="B25" t="s">
        <v>60</v>
      </c>
      <c r="C25">
        <v>2</v>
      </c>
      <c r="D25" s="1">
        <v>35839</v>
      </c>
      <c r="E25" t="s">
        <v>82</v>
      </c>
      <c r="F25">
        <v>20182019</v>
      </c>
      <c r="G25" t="s">
        <v>86</v>
      </c>
      <c r="H25" t="s">
        <v>7</v>
      </c>
      <c r="I25">
        <v>218</v>
      </c>
      <c r="J25" t="s">
        <v>93</v>
      </c>
      <c r="K25" t="s">
        <v>89</v>
      </c>
      <c r="L25" t="s">
        <v>122</v>
      </c>
      <c r="M25" t="str">
        <f t="shared" si="0"/>
        <v>Long.Carter@uvm.edu</v>
      </c>
      <c r="N25">
        <v>11111111</v>
      </c>
    </row>
    <row r="26" spans="1:14" x14ac:dyDescent="0.25">
      <c r="A26" t="s">
        <v>99</v>
      </c>
      <c r="B26" t="s">
        <v>72</v>
      </c>
      <c r="C26">
        <v>6</v>
      </c>
      <c r="D26" s="1">
        <v>36196</v>
      </c>
      <c r="E26" t="s">
        <v>82</v>
      </c>
      <c r="F26">
        <v>20192020</v>
      </c>
      <c r="G26" t="s">
        <v>86</v>
      </c>
      <c r="H26" t="s">
        <v>4</v>
      </c>
      <c r="I26">
        <v>160</v>
      </c>
      <c r="J26" t="s">
        <v>93</v>
      </c>
      <c r="K26" t="s">
        <v>89</v>
      </c>
      <c r="L26" t="s">
        <v>102</v>
      </c>
      <c r="M26" t="str">
        <f t="shared" si="0"/>
        <v>Lucas.Andrew@uvm.edu</v>
      </c>
      <c r="N26">
        <v>11111111</v>
      </c>
    </row>
    <row r="27" spans="1:14" x14ac:dyDescent="0.25">
      <c r="A27" t="s">
        <v>100</v>
      </c>
      <c r="B27" t="s">
        <v>101</v>
      </c>
      <c r="C27">
        <v>21</v>
      </c>
      <c r="D27" s="1">
        <v>36702</v>
      </c>
      <c r="E27" t="s">
        <v>82</v>
      </c>
      <c r="F27">
        <v>20192020</v>
      </c>
      <c r="G27" t="s">
        <v>86</v>
      </c>
      <c r="H27" t="s">
        <v>5</v>
      </c>
      <c r="I27">
        <v>190</v>
      </c>
      <c r="J27" t="s">
        <v>88</v>
      </c>
      <c r="K27" t="s">
        <v>91</v>
      </c>
      <c r="L27" t="s">
        <v>103</v>
      </c>
      <c r="M27" t="str">
        <f t="shared" si="0"/>
        <v>McCutcheon.Riley@uvm.edu</v>
      </c>
      <c r="N27">
        <v>11111111</v>
      </c>
    </row>
    <row r="28" spans="1:14" x14ac:dyDescent="0.25">
      <c r="A28" t="s">
        <v>61</v>
      </c>
      <c r="B28" t="s">
        <v>62</v>
      </c>
      <c r="C28" s="4">
        <v>34</v>
      </c>
      <c r="D28" s="1">
        <v>35451</v>
      </c>
      <c r="E28" t="s">
        <v>82</v>
      </c>
      <c r="F28">
        <v>20182019</v>
      </c>
      <c r="G28" t="s">
        <v>84</v>
      </c>
      <c r="H28" t="s">
        <v>5</v>
      </c>
      <c r="I28">
        <v>177</v>
      </c>
      <c r="J28" t="s">
        <v>93</v>
      </c>
      <c r="K28" t="s">
        <v>91</v>
      </c>
      <c r="L28" t="s">
        <v>123</v>
      </c>
      <c r="M28" t="str">
        <f t="shared" si="0"/>
        <v>Massie.Jake@uvm.edu</v>
      </c>
      <c r="N28">
        <v>11111111</v>
      </c>
    </row>
    <row r="29" spans="1:14" x14ac:dyDescent="0.25">
      <c r="A29" t="s">
        <v>63</v>
      </c>
      <c r="B29" t="s">
        <v>64</v>
      </c>
      <c r="C29">
        <v>9</v>
      </c>
      <c r="D29" s="1">
        <v>36408</v>
      </c>
      <c r="E29" t="s">
        <v>82</v>
      </c>
      <c r="F29">
        <v>20182019</v>
      </c>
      <c r="G29" t="s">
        <v>85</v>
      </c>
      <c r="H29" t="s">
        <v>8</v>
      </c>
      <c r="I29">
        <v>195</v>
      </c>
      <c r="J29" t="s">
        <v>88</v>
      </c>
      <c r="K29" t="s">
        <v>91</v>
      </c>
      <c r="L29" t="s">
        <v>108</v>
      </c>
      <c r="M29" t="str">
        <f t="shared" si="0"/>
        <v>Misley.Bryce@uvm.edu</v>
      </c>
      <c r="N29">
        <v>11111111</v>
      </c>
    </row>
    <row r="30" spans="1:14" x14ac:dyDescent="0.25">
      <c r="A30" t="s">
        <v>65</v>
      </c>
      <c r="B30" t="s">
        <v>66</v>
      </c>
      <c r="C30">
        <v>15</v>
      </c>
      <c r="D30" s="1">
        <v>34897</v>
      </c>
      <c r="E30" t="s">
        <v>82</v>
      </c>
      <c r="F30">
        <v>20182019</v>
      </c>
      <c r="G30" t="s">
        <v>84</v>
      </c>
      <c r="H30" t="s">
        <v>2</v>
      </c>
      <c r="I30">
        <v>180</v>
      </c>
      <c r="J30" t="s">
        <v>93</v>
      </c>
      <c r="K30" t="s">
        <v>91</v>
      </c>
      <c r="L30" t="s">
        <v>124</v>
      </c>
      <c r="M30" t="str">
        <f t="shared" si="0"/>
        <v>Moriarty.Corey@uvm.edu</v>
      </c>
      <c r="N30">
        <v>11111111</v>
      </c>
    </row>
    <row r="31" spans="1:14" x14ac:dyDescent="0.25">
      <c r="A31" t="s">
        <v>67</v>
      </c>
      <c r="B31" t="s">
        <v>68</v>
      </c>
      <c r="C31">
        <v>18</v>
      </c>
      <c r="D31" s="1">
        <v>34748</v>
      </c>
      <c r="E31" t="s">
        <v>82</v>
      </c>
      <c r="F31">
        <v>20182019</v>
      </c>
      <c r="G31" t="s">
        <v>84</v>
      </c>
      <c r="H31" t="s">
        <v>3</v>
      </c>
      <c r="I31">
        <v>195</v>
      </c>
      <c r="J31" t="s">
        <v>93</v>
      </c>
      <c r="K31" t="s">
        <v>89</v>
      </c>
      <c r="L31" t="s">
        <v>125</v>
      </c>
      <c r="M31" t="str">
        <f t="shared" si="0"/>
        <v>O'Donnell.Matthew@uvm.edu</v>
      </c>
      <c r="N31">
        <v>11111111</v>
      </c>
    </row>
    <row r="32" spans="1:14" x14ac:dyDescent="0.25">
      <c r="A32" t="s">
        <v>69</v>
      </c>
      <c r="B32" t="s">
        <v>70</v>
      </c>
      <c r="C32">
        <v>11</v>
      </c>
      <c r="D32" s="1">
        <v>34495</v>
      </c>
      <c r="E32" t="s">
        <v>82</v>
      </c>
      <c r="F32">
        <v>20182019</v>
      </c>
      <c r="G32" t="s">
        <v>87</v>
      </c>
      <c r="H32" t="s">
        <v>1</v>
      </c>
      <c r="I32">
        <v>200</v>
      </c>
      <c r="J32" t="s">
        <v>88</v>
      </c>
      <c r="K32" t="s">
        <v>91</v>
      </c>
      <c r="L32" t="s">
        <v>126</v>
      </c>
      <c r="M32" t="str">
        <f t="shared" si="0"/>
        <v>O'Neil.Conor@uvm.edu</v>
      </c>
      <c r="N32">
        <v>11111111</v>
      </c>
    </row>
    <row r="33" spans="1:14" x14ac:dyDescent="0.25">
      <c r="A33" t="s">
        <v>71</v>
      </c>
      <c r="B33" t="s">
        <v>72</v>
      </c>
      <c r="C33">
        <v>3</v>
      </c>
      <c r="D33" s="1">
        <v>35866</v>
      </c>
      <c r="E33" t="s">
        <v>82</v>
      </c>
      <c r="F33">
        <v>20182019</v>
      </c>
      <c r="G33" t="s">
        <v>86</v>
      </c>
      <c r="H33" t="s">
        <v>3</v>
      </c>
      <c r="I33">
        <v>190</v>
      </c>
      <c r="J33" t="s">
        <v>93</v>
      </c>
      <c r="K33" t="s">
        <v>89</v>
      </c>
      <c r="L33" t="s">
        <v>127</v>
      </c>
      <c r="M33" t="str">
        <f t="shared" si="0"/>
        <v>Petrillo.Andrew@uvm.edu</v>
      </c>
      <c r="N33">
        <v>11111111</v>
      </c>
    </row>
    <row r="34" spans="1:14" x14ac:dyDescent="0.25">
      <c r="A34" t="s">
        <v>73</v>
      </c>
      <c r="B34" t="s">
        <v>74</v>
      </c>
      <c r="C34">
        <v>17</v>
      </c>
      <c r="D34" s="1">
        <v>34822</v>
      </c>
      <c r="E34" t="s">
        <v>82</v>
      </c>
      <c r="F34">
        <v>20182019</v>
      </c>
      <c r="G34" t="s">
        <v>87</v>
      </c>
      <c r="H34" t="s">
        <v>2</v>
      </c>
      <c r="I34">
        <v>168</v>
      </c>
      <c r="J34" t="s">
        <v>88</v>
      </c>
      <c r="K34" t="s">
        <v>91</v>
      </c>
      <c r="L34" t="s">
        <v>128</v>
      </c>
      <c r="M34" t="str">
        <f t="shared" si="0"/>
        <v>Puffer.Craig@uvm.edu</v>
      </c>
      <c r="N34">
        <v>11111111</v>
      </c>
    </row>
    <row r="35" spans="1:14" x14ac:dyDescent="0.25">
      <c r="A35" t="s">
        <v>23</v>
      </c>
      <c r="B35" t="s">
        <v>75</v>
      </c>
      <c r="C35">
        <v>27</v>
      </c>
      <c r="D35" s="1">
        <v>35873</v>
      </c>
      <c r="E35" t="s">
        <v>82</v>
      </c>
      <c r="F35">
        <v>20182019</v>
      </c>
      <c r="G35" t="s">
        <v>85</v>
      </c>
      <c r="H35" t="s">
        <v>9</v>
      </c>
      <c r="I35">
        <v>215</v>
      </c>
      <c r="J35" t="s">
        <v>93</v>
      </c>
      <c r="K35" t="s">
        <v>91</v>
      </c>
      <c r="L35" t="s">
        <v>129</v>
      </c>
      <c r="M35" t="str">
        <f t="shared" si="0"/>
        <v>Thomas.Cory@uvm.edu</v>
      </c>
      <c r="N35">
        <v>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RDAthletes</vt:lpstr>
      <vt:lpstr>AthleteProfiles</vt:lpstr>
    </vt:vector>
  </TitlesOfParts>
  <Company>University of Vermont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Hickok</dc:creator>
  <cp:lastModifiedBy>Adam Virgile</cp:lastModifiedBy>
  <dcterms:created xsi:type="dcterms:W3CDTF">2019-08-30T13:48:25Z</dcterms:created>
  <dcterms:modified xsi:type="dcterms:W3CDTF">2026-01-01T23:29:36Z</dcterms:modified>
</cp:coreProperties>
</file>